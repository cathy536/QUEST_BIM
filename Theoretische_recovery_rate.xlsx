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3.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drawings/drawing4.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drawings/drawing5.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drawings/drawing6.xml" ContentType="application/vnd.openxmlformats-officedocument.drawing+xml"/>
  <Override PartName="/xl/tables/table40.xml" ContentType="application/vnd.openxmlformats-officedocument.spreadsheetml.table+xml"/>
  <Override PartName="/xl/comments6.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ebruiker\Documents\Quest Hu 2026\"/>
    </mc:Choice>
  </mc:AlternateContent>
  <xr:revisionPtr revIDLastSave="0" documentId="8_{68D4CB9F-2888-491D-9F19-4E6CC846650B}" xr6:coauthVersionLast="47" xr6:coauthVersionMax="47" xr10:uidLastSave="{00000000-0000-0000-0000-000000000000}"/>
  <bookViews>
    <workbookView xWindow="-108" yWindow="-108" windowWidth="23256" windowHeight="12456" xr2:uid="{00000000-000D-0000-FFFF-FFFF00000000}"/>
  </bookViews>
  <sheets>
    <sheet name="Methodiek" sheetId="1" r:id="rId1"/>
    <sheet name="Dashboard" sheetId="30" r:id="rId2"/>
    <sheet name="Hout" sheetId="12" r:id="rId3"/>
    <sheet name="Hout 2.0" sheetId="17" r:id="rId4"/>
    <sheet name="Hout-data" sheetId="31" r:id="rId5"/>
    <sheet name="Staal" sheetId="8" r:id="rId6"/>
    <sheet name="Staal 2.0" sheetId="16" r:id="rId7"/>
    <sheet name="Staal-data" sheetId="32" r:id="rId8"/>
    <sheet name="Beton" sheetId="6" r:id="rId9"/>
    <sheet name="Beton 2.0" sheetId="18" r:id="rId10"/>
    <sheet name="Beton-data" sheetId="33" r:id="rId11"/>
    <sheet name="Koper" sheetId="5" r:id="rId12"/>
    <sheet name="Koper 2.0" sheetId="19" r:id="rId13"/>
    <sheet name="Koper-data" sheetId="34" r:id="rId14"/>
    <sheet name="Aluminium" sheetId="7" r:id="rId15"/>
    <sheet name="Aluminium 2.0" sheetId="20" r:id="rId16"/>
    <sheet name="Aluminium-data" sheetId="35" r:id="rId17"/>
    <sheet name="Bitumen" sheetId="4" r:id="rId18"/>
    <sheet name="Bitumen 2.0" sheetId="21" r:id="rId19"/>
    <sheet name="Bitumen-data" sheetId="36" r:id="rId20"/>
    <sheet name="Categorie" sheetId="14" r:id="rId21"/>
  </sheets>
  <definedNames>
    <definedName name="Klimaatimpact" comment="De klimaat impact van het betreffende materiaal wordt door middel van een score 1 tot en met 5 beroordeeld. Wanneer het een negatieve impact heeft op het klimaat (veel uitstoot bij nieuw produceren) wordt het beroordeeld met een 1. ">Tabel14[[#Headers],[CO2-nieuw (kg)]]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7" l="1"/>
  <c r="J5" i="7"/>
  <c r="K6" i="6"/>
  <c r="K4" i="6" s="1"/>
  <c r="K7" i="6"/>
  <c r="K5" i="6"/>
  <c r="J7" i="6"/>
  <c r="J4" i="6"/>
  <c r="J5" i="6"/>
  <c r="J6" i="6"/>
  <c r="X3" i="12"/>
  <c r="X4" i="12"/>
  <c r="X5" i="12"/>
  <c r="X6" i="12"/>
  <c r="X7" i="12"/>
  <c r="X8" i="12"/>
  <c r="J4" i="12"/>
  <c r="J5" i="12"/>
  <c r="J6" i="12"/>
  <c r="J7" i="12"/>
  <c r="U51" i="30"/>
  <c r="U52" i="30"/>
  <c r="U53" i="30"/>
  <c r="U54" i="30"/>
  <c r="U55" i="30"/>
  <c r="U56" i="30"/>
  <c r="U57" i="30"/>
  <c r="U58" i="30"/>
  <c r="U59" i="30"/>
  <c r="U60" i="30"/>
  <c r="U39" i="30"/>
  <c r="U40" i="30"/>
  <c r="U41" i="30"/>
  <c r="U42" i="30"/>
  <c r="U43" i="30"/>
  <c r="U44" i="30"/>
  <c r="U45" i="30"/>
  <c r="U46" i="30"/>
  <c r="U47" i="30"/>
  <c r="U48" i="30"/>
  <c r="U27" i="30"/>
  <c r="U28" i="30"/>
  <c r="U29" i="30"/>
  <c r="U30" i="30"/>
  <c r="U31" i="30"/>
  <c r="U32" i="30"/>
  <c r="U33" i="30"/>
  <c r="U34" i="30"/>
  <c r="U35" i="30"/>
  <c r="U36" i="30"/>
  <c r="U15" i="30"/>
  <c r="U16" i="30"/>
  <c r="U17" i="30"/>
  <c r="U18" i="30"/>
  <c r="U19" i="30"/>
  <c r="U20" i="30"/>
  <c r="U21" i="30"/>
  <c r="U22" i="30"/>
  <c r="U23" i="30"/>
  <c r="U24" i="30"/>
  <c r="U3" i="30"/>
  <c r="U4" i="30"/>
  <c r="U5" i="30"/>
  <c r="U6" i="30"/>
  <c r="U7" i="30"/>
  <c r="U8" i="30"/>
  <c r="U9" i="30"/>
  <c r="U10" i="30"/>
  <c r="U11" i="30"/>
  <c r="U12" i="30"/>
  <c r="O4" i="30"/>
  <c r="O5" i="30"/>
  <c r="O6" i="30"/>
  <c r="O7" i="30"/>
  <c r="O8" i="30"/>
  <c r="O9" i="30"/>
  <c r="O10" i="30"/>
  <c r="O11" i="30"/>
  <c r="O12" i="30"/>
  <c r="U6" i="12"/>
  <c r="C3" i="30"/>
  <c r="C4" i="30"/>
  <c r="E3" i="30"/>
  <c r="E15" i="30"/>
  <c r="E27" i="30"/>
  <c r="E39" i="30"/>
  <c r="E51" i="30"/>
  <c r="M9" i="30"/>
  <c r="M10" i="30"/>
  <c r="M11" i="30"/>
  <c r="M8" i="30"/>
  <c r="K28" i="30"/>
  <c r="K34" i="30"/>
  <c r="J28" i="30"/>
  <c r="J34" i="30"/>
  <c r="C8" i="30"/>
  <c r="C9" i="30"/>
  <c r="C10" i="30"/>
  <c r="C11" i="30"/>
  <c r="C12" i="30"/>
  <c r="K7" i="30"/>
  <c r="K12" i="30"/>
  <c r="K19" i="30"/>
  <c r="K24" i="30"/>
  <c r="J52" i="30"/>
  <c r="K52" i="30" s="1"/>
  <c r="J53" i="30"/>
  <c r="K53" i="30" s="1"/>
  <c r="J43" i="30"/>
  <c r="K43" i="30" s="1"/>
  <c r="J44" i="30"/>
  <c r="K44" i="30" s="1"/>
  <c r="J45" i="30"/>
  <c r="K45" i="30" s="1"/>
  <c r="J19" i="30"/>
  <c r="J21" i="30"/>
  <c r="K21" i="30" s="1"/>
  <c r="J22" i="30"/>
  <c r="K22" i="30" s="1"/>
  <c r="J23" i="30"/>
  <c r="K23" i="30" s="1"/>
  <c r="J24" i="30"/>
  <c r="J7" i="30"/>
  <c r="J12" i="30"/>
  <c r="C6" i="30"/>
  <c r="I3" i="12"/>
  <c r="I4" i="12"/>
  <c r="I5" i="12"/>
  <c r="I7" i="12"/>
  <c r="W7" i="4" s="1"/>
  <c r="I8" i="12"/>
  <c r="J6" i="7"/>
  <c r="J7" i="7"/>
  <c r="K5" i="12"/>
  <c r="J5" i="8"/>
  <c r="J6" i="8"/>
  <c r="J3" i="8"/>
  <c r="R3" i="4"/>
  <c r="S3" i="4"/>
  <c r="T3" i="4"/>
  <c r="V3" i="4"/>
  <c r="X3" i="4"/>
  <c r="Y3" i="4" s="1"/>
  <c r="H4" i="4"/>
  <c r="K4" i="4" s="1"/>
  <c r="R4" i="4"/>
  <c r="S4" i="4"/>
  <c r="V4" i="4" s="1"/>
  <c r="T4" i="4"/>
  <c r="W4" i="4"/>
  <c r="X4" i="4"/>
  <c r="H5" i="4"/>
  <c r="I5" i="4"/>
  <c r="R5" i="4"/>
  <c r="S5" i="4"/>
  <c r="T5" i="4"/>
  <c r="W5" i="4"/>
  <c r="X5" i="4"/>
  <c r="H6" i="4"/>
  <c r="R6" i="4"/>
  <c r="S6" i="4"/>
  <c r="T6" i="4"/>
  <c r="X6" i="4"/>
  <c r="H7" i="4"/>
  <c r="R7" i="4"/>
  <c r="S7" i="4"/>
  <c r="T7" i="4"/>
  <c r="X7" i="4"/>
  <c r="I12" i="30"/>
  <c r="C52" i="30"/>
  <c r="O52" i="30" s="1"/>
  <c r="C53" i="30"/>
  <c r="N53" i="30" s="1"/>
  <c r="C54" i="30"/>
  <c r="O54" i="30" s="1"/>
  <c r="C55" i="30"/>
  <c r="N55" i="30" s="1"/>
  <c r="C56" i="30"/>
  <c r="O56" i="30" s="1"/>
  <c r="C57" i="30"/>
  <c r="N57" i="30" s="1"/>
  <c r="C58" i="30"/>
  <c r="M58" i="30" s="1"/>
  <c r="C59" i="30"/>
  <c r="M59" i="30" s="1"/>
  <c r="C60" i="30"/>
  <c r="M60" i="30" s="1"/>
  <c r="C40" i="30"/>
  <c r="O40" i="30" s="1"/>
  <c r="C41" i="30"/>
  <c r="N41" i="30" s="1"/>
  <c r="C42" i="30"/>
  <c r="M42" i="30" s="1"/>
  <c r="C43" i="30"/>
  <c r="M43" i="30" s="1"/>
  <c r="C44" i="30"/>
  <c r="M44" i="30" s="1"/>
  <c r="C45" i="30"/>
  <c r="N45" i="30" s="1"/>
  <c r="C46" i="30"/>
  <c r="M46" i="30" s="1"/>
  <c r="C47" i="30"/>
  <c r="M47" i="30" s="1"/>
  <c r="C48" i="30"/>
  <c r="N48" i="30" s="1"/>
  <c r="C39" i="30"/>
  <c r="C28" i="30"/>
  <c r="O28" i="30" s="1"/>
  <c r="C29" i="30"/>
  <c r="N29" i="30" s="1"/>
  <c r="C30" i="30"/>
  <c r="M30" i="30" s="1"/>
  <c r="Q30" i="30" s="1"/>
  <c r="C31" i="30"/>
  <c r="M31" i="30" s="1"/>
  <c r="C32" i="30"/>
  <c r="N32" i="30" s="1"/>
  <c r="C33" i="30"/>
  <c r="O33" i="30" s="1"/>
  <c r="C34" i="30"/>
  <c r="O34" i="30" s="1"/>
  <c r="C35" i="30"/>
  <c r="O35" i="30" s="1"/>
  <c r="C36" i="30"/>
  <c r="O36" i="30" s="1"/>
  <c r="C16" i="30"/>
  <c r="O16" i="30" s="1"/>
  <c r="C17" i="30"/>
  <c r="M17" i="30" s="1"/>
  <c r="C18" i="30"/>
  <c r="O18" i="30" s="1"/>
  <c r="C19" i="30"/>
  <c r="N19" i="30" s="1"/>
  <c r="C20" i="30"/>
  <c r="N20" i="30" s="1"/>
  <c r="C21" i="30"/>
  <c r="O21" i="30" s="1"/>
  <c r="C22" i="30"/>
  <c r="M22" i="30" s="1"/>
  <c r="C23" i="30"/>
  <c r="M23" i="30" s="1"/>
  <c r="C24" i="30"/>
  <c r="O24" i="30" s="1"/>
  <c r="O53" i="30"/>
  <c r="S6" i="5"/>
  <c r="U7" i="6"/>
  <c r="D3" i="12"/>
  <c r="R5" i="12"/>
  <c r="L51" i="30"/>
  <c r="S51" i="30" s="1"/>
  <c r="L52" i="30"/>
  <c r="L53" i="30"/>
  <c r="L54" i="30"/>
  <c r="L55" i="30"/>
  <c r="L56" i="30"/>
  <c r="L57" i="30"/>
  <c r="L58" i="30"/>
  <c r="L59" i="30"/>
  <c r="L60" i="30"/>
  <c r="L15" i="30"/>
  <c r="S15" i="30" s="1"/>
  <c r="L16" i="30"/>
  <c r="L17" i="30"/>
  <c r="L18" i="30"/>
  <c r="L19" i="30"/>
  <c r="L20" i="30"/>
  <c r="L21" i="30"/>
  <c r="L22" i="30"/>
  <c r="L23" i="30"/>
  <c r="L24" i="30"/>
  <c r="L27" i="30"/>
  <c r="S27" i="30" s="1"/>
  <c r="L28" i="30"/>
  <c r="L29" i="30"/>
  <c r="L30" i="30"/>
  <c r="L31" i="30"/>
  <c r="L32" i="30"/>
  <c r="L33" i="30"/>
  <c r="L34" i="30"/>
  <c r="L35" i="30"/>
  <c r="L36" i="30"/>
  <c r="L39" i="30"/>
  <c r="S39" i="30" s="1"/>
  <c r="L40" i="30"/>
  <c r="S40" i="30" s="1"/>
  <c r="L41" i="30"/>
  <c r="L42" i="30"/>
  <c r="L43" i="30"/>
  <c r="S43" i="30" s="1"/>
  <c r="L44" i="30"/>
  <c r="L45" i="30"/>
  <c r="L46" i="30"/>
  <c r="L47" i="30"/>
  <c r="S47" i="30" s="1"/>
  <c r="L48" i="30"/>
  <c r="S48" i="30" s="1"/>
  <c r="L3" i="30"/>
  <c r="S3" i="30" s="1"/>
  <c r="L4" i="30"/>
  <c r="L5" i="30"/>
  <c r="L6" i="30"/>
  <c r="L7" i="30"/>
  <c r="L8" i="30"/>
  <c r="L9" i="30"/>
  <c r="L10" i="30"/>
  <c r="L11" i="30"/>
  <c r="L12" i="30"/>
  <c r="C15" i="30"/>
  <c r="I31" i="30"/>
  <c r="J31" i="30" s="1"/>
  <c r="K31" i="30" s="1"/>
  <c r="I48" i="30"/>
  <c r="J48" i="30" s="1"/>
  <c r="K48" i="30" s="1"/>
  <c r="I47" i="30"/>
  <c r="J47" i="30" s="1"/>
  <c r="K47" i="30" s="1"/>
  <c r="I46" i="30"/>
  <c r="J46" i="30" s="1"/>
  <c r="K46" i="30" s="1"/>
  <c r="I45" i="30"/>
  <c r="I44" i="30"/>
  <c r="I43" i="30"/>
  <c r="I42" i="30"/>
  <c r="J42" i="30" s="1"/>
  <c r="K42" i="30" s="1"/>
  <c r="I41" i="30"/>
  <c r="J41" i="30" s="1"/>
  <c r="K41" i="30" s="1"/>
  <c r="I40" i="30"/>
  <c r="J40" i="30" s="1"/>
  <c r="K40" i="30" s="1"/>
  <c r="H39" i="30"/>
  <c r="G39" i="30"/>
  <c r="F39" i="30"/>
  <c r="C51" i="30"/>
  <c r="I60" i="30"/>
  <c r="J60" i="30" s="1"/>
  <c r="K60" i="30" s="1"/>
  <c r="I59" i="30"/>
  <c r="J59" i="30" s="1"/>
  <c r="K59" i="30" s="1"/>
  <c r="I58" i="30"/>
  <c r="J58" i="30" s="1"/>
  <c r="K58" i="30" s="1"/>
  <c r="I57" i="30"/>
  <c r="J57" i="30" s="1"/>
  <c r="K57" i="30" s="1"/>
  <c r="I56" i="30"/>
  <c r="J56" i="30" s="1"/>
  <c r="K56" i="30" s="1"/>
  <c r="I55" i="30"/>
  <c r="J55" i="30" s="1"/>
  <c r="K55" i="30" s="1"/>
  <c r="I54" i="30"/>
  <c r="J54" i="30" s="1"/>
  <c r="K54" i="30" s="1"/>
  <c r="I53" i="30"/>
  <c r="I52" i="30"/>
  <c r="H51" i="30"/>
  <c r="G51" i="30"/>
  <c r="F51" i="30"/>
  <c r="C27" i="30"/>
  <c r="I36" i="30"/>
  <c r="J36" i="30" s="1"/>
  <c r="K36" i="30" s="1"/>
  <c r="I35" i="30"/>
  <c r="J35" i="30" s="1"/>
  <c r="K35" i="30" s="1"/>
  <c r="I34" i="30"/>
  <c r="I33" i="30"/>
  <c r="J33" i="30" s="1"/>
  <c r="K33" i="30" s="1"/>
  <c r="I32" i="30"/>
  <c r="J32" i="30" s="1"/>
  <c r="K32" i="30" s="1"/>
  <c r="I30" i="30"/>
  <c r="J30" i="30" s="1"/>
  <c r="K30" i="30" s="1"/>
  <c r="I29" i="30"/>
  <c r="J29" i="30" s="1"/>
  <c r="K29" i="30" s="1"/>
  <c r="I28" i="30"/>
  <c r="H27" i="30"/>
  <c r="G27" i="30"/>
  <c r="F27" i="30"/>
  <c r="I24" i="30"/>
  <c r="I23" i="30"/>
  <c r="I22" i="30"/>
  <c r="I21" i="30"/>
  <c r="I20" i="30"/>
  <c r="J20" i="30" s="1"/>
  <c r="K20" i="30" s="1"/>
  <c r="I19" i="30"/>
  <c r="I18" i="30"/>
  <c r="J18" i="30" s="1"/>
  <c r="K18" i="30" s="1"/>
  <c r="I17" i="30"/>
  <c r="J17" i="30" s="1"/>
  <c r="K17" i="30" s="1"/>
  <c r="I16" i="30"/>
  <c r="J16" i="30" s="1"/>
  <c r="K16" i="30" s="1"/>
  <c r="H15" i="30"/>
  <c r="G15" i="30"/>
  <c r="F15" i="30"/>
  <c r="M6" i="30"/>
  <c r="C7" i="30"/>
  <c r="M12" i="30"/>
  <c r="Q12" i="30" s="1"/>
  <c r="C5" i="30"/>
  <c r="M5" i="30" s="1"/>
  <c r="M4" i="30"/>
  <c r="G3" i="30"/>
  <c r="H3" i="30"/>
  <c r="F3" i="30"/>
  <c r="I4" i="30"/>
  <c r="I5" i="30"/>
  <c r="J5" i="30" s="1"/>
  <c r="K5" i="30" s="1"/>
  <c r="I7" i="30"/>
  <c r="I8" i="30"/>
  <c r="J8" i="30" s="1"/>
  <c r="K8" i="30" s="1"/>
  <c r="I9" i="30"/>
  <c r="J9" i="30" s="1"/>
  <c r="K9" i="30" s="1"/>
  <c r="I10" i="30"/>
  <c r="J10" i="30" s="1"/>
  <c r="K10" i="30" s="1"/>
  <c r="I11" i="30"/>
  <c r="J11" i="30" s="1"/>
  <c r="K11" i="30" s="1"/>
  <c r="I6" i="30"/>
  <c r="J6" i="30" s="1"/>
  <c r="K6" i="30" s="1"/>
  <c r="S3" i="8"/>
  <c r="S4" i="8"/>
  <c r="S5" i="8"/>
  <c r="S6" i="8"/>
  <c r="S7" i="8"/>
  <c r="T6" i="6"/>
  <c r="D11" i="12"/>
  <c r="D12" i="12"/>
  <c r="D13" i="12"/>
  <c r="D14" i="12"/>
  <c r="T4" i="12"/>
  <c r="T5" i="12"/>
  <c r="T6" i="12"/>
  <c r="T7" i="12"/>
  <c r="T8" i="12"/>
  <c r="S4" i="12"/>
  <c r="S5" i="12"/>
  <c r="S6" i="12"/>
  <c r="S7" i="12"/>
  <c r="S8" i="12"/>
  <c r="R4" i="12"/>
  <c r="R6" i="12"/>
  <c r="R7" i="12"/>
  <c r="R8" i="12"/>
  <c r="V5" i="4" l="1"/>
  <c r="Y5" i="4"/>
  <c r="K3" i="6"/>
  <c r="O3" i="30"/>
  <c r="J4" i="30"/>
  <c r="K4" i="30" s="1"/>
  <c r="W3" i="30"/>
  <c r="V3" i="30"/>
  <c r="K5" i="4"/>
  <c r="K7" i="4"/>
  <c r="I4" i="4"/>
  <c r="L4" i="4" s="1"/>
  <c r="L5" i="4"/>
  <c r="H3" i="4"/>
  <c r="Y4" i="4"/>
  <c r="U5" i="4"/>
  <c r="I6" i="4"/>
  <c r="L6" i="4" s="1"/>
  <c r="U4" i="4"/>
  <c r="K6" i="4"/>
  <c r="V6" i="4"/>
  <c r="U6" i="4" s="1"/>
  <c r="Y7" i="4"/>
  <c r="V7" i="4"/>
  <c r="U7" i="4" s="1"/>
  <c r="U3" i="4"/>
  <c r="N22" i="30"/>
  <c r="M24" i="30"/>
  <c r="M21" i="30"/>
  <c r="Q22" i="30" s="1"/>
  <c r="V22" i="30" s="1"/>
  <c r="M20" i="30"/>
  <c r="Q21" i="30" s="1"/>
  <c r="V21" i="30" s="1"/>
  <c r="M19" i="30"/>
  <c r="M18" i="30"/>
  <c r="M16" i="30"/>
  <c r="Q17" i="30" s="1"/>
  <c r="V17" i="30" s="1"/>
  <c r="Q23" i="30"/>
  <c r="V23" i="30" s="1"/>
  <c r="N21" i="30"/>
  <c r="O30" i="30"/>
  <c r="M41" i="30"/>
  <c r="Q41" i="30" s="1"/>
  <c r="V41" i="30" s="1"/>
  <c r="M40" i="30"/>
  <c r="Q40" i="30" s="1"/>
  <c r="V40" i="30" s="1"/>
  <c r="O22" i="30"/>
  <c r="P22" i="30" s="1"/>
  <c r="N40" i="30"/>
  <c r="N42" i="30"/>
  <c r="O42" i="30"/>
  <c r="N31" i="30"/>
  <c r="N30" i="30"/>
  <c r="M53" i="30"/>
  <c r="Q53" i="30" s="1"/>
  <c r="V53" i="30" s="1"/>
  <c r="N44" i="30"/>
  <c r="O32" i="30"/>
  <c r="M52" i="30"/>
  <c r="Q52" i="30" s="1"/>
  <c r="V52" i="30" s="1"/>
  <c r="O31" i="30"/>
  <c r="N52" i="30"/>
  <c r="O55" i="30"/>
  <c r="N43" i="30"/>
  <c r="O44" i="30"/>
  <c r="O43" i="30"/>
  <c r="O45" i="30"/>
  <c r="M55" i="30"/>
  <c r="Q55" i="30" s="1"/>
  <c r="V55" i="30" s="1"/>
  <c r="O17" i="30"/>
  <c r="N24" i="30"/>
  <c r="M54" i="30"/>
  <c r="Q54" i="30" s="1"/>
  <c r="V54" i="30" s="1"/>
  <c r="S6" i="30"/>
  <c r="S5" i="30"/>
  <c r="N17" i="30"/>
  <c r="M32" i="30"/>
  <c r="N23" i="30"/>
  <c r="N18" i="30"/>
  <c r="O23" i="30"/>
  <c r="M28" i="30"/>
  <c r="Q28" i="30" s="1"/>
  <c r="V28" i="30" s="1"/>
  <c r="N28" i="30"/>
  <c r="M29" i="30"/>
  <c r="Q29" i="30" s="1"/>
  <c r="V29" i="30" s="1"/>
  <c r="W15" i="30"/>
  <c r="M36" i="30"/>
  <c r="Q36" i="30" s="1"/>
  <c r="V36" i="30" s="1"/>
  <c r="O29" i="30"/>
  <c r="O20" i="30"/>
  <c r="M35" i="30"/>
  <c r="Q35" i="30" s="1"/>
  <c r="V35" i="30" s="1"/>
  <c r="O19" i="30"/>
  <c r="M34" i="30"/>
  <c r="M33" i="30"/>
  <c r="N33" i="30"/>
  <c r="M45" i="30"/>
  <c r="Q45" i="30" s="1"/>
  <c r="V45" i="30" s="1"/>
  <c r="N56" i="30"/>
  <c r="N34" i="30"/>
  <c r="V30" i="30"/>
  <c r="N54" i="30"/>
  <c r="Q24" i="30"/>
  <c r="V24" i="30" s="1"/>
  <c r="N35" i="30"/>
  <c r="N16" i="30"/>
  <c r="N47" i="30"/>
  <c r="M57" i="30"/>
  <c r="Q57" i="30" s="1"/>
  <c r="V57" i="30" s="1"/>
  <c r="O57" i="30"/>
  <c r="M56" i="30"/>
  <c r="Q60" i="30"/>
  <c r="V60" i="30" s="1"/>
  <c r="Q58" i="30"/>
  <c r="V58" i="30" s="1"/>
  <c r="Q59" i="30"/>
  <c r="V59" i="30" s="1"/>
  <c r="O59" i="30"/>
  <c r="O58" i="30"/>
  <c r="N60" i="30"/>
  <c r="O60" i="30"/>
  <c r="N59" i="30"/>
  <c r="N58" i="30"/>
  <c r="O48" i="30"/>
  <c r="O47" i="30"/>
  <c r="O46" i="30"/>
  <c r="Q42" i="30"/>
  <c r="V42" i="30" s="1"/>
  <c r="Q44" i="30"/>
  <c r="V44" i="30" s="1"/>
  <c r="Q46" i="30"/>
  <c r="V46" i="30" s="1"/>
  <c r="Q47" i="30"/>
  <c r="V47" i="30" s="1"/>
  <c r="N46" i="30"/>
  <c r="M48" i="30"/>
  <c r="O41" i="30"/>
  <c r="N36" i="30"/>
  <c r="W51" i="30"/>
  <c r="W39" i="30"/>
  <c r="W27" i="30"/>
  <c r="Q31" i="30"/>
  <c r="V31" i="30" s="1"/>
  <c r="N4" i="30"/>
  <c r="P4" i="30" s="1"/>
  <c r="N9" i="30"/>
  <c r="N5" i="30"/>
  <c r="P5" i="30" s="1"/>
  <c r="N8" i="30"/>
  <c r="N7" i="30"/>
  <c r="N6" i="30"/>
  <c r="P6" i="30" s="1"/>
  <c r="V6" i="30" s="1"/>
  <c r="N11" i="30"/>
  <c r="M7" i="30"/>
  <c r="N10" i="30"/>
  <c r="Q9" i="30"/>
  <c r="P9" i="30" s="1"/>
  <c r="Q11" i="30"/>
  <c r="P11" i="30" s="1"/>
  <c r="Q5" i="30"/>
  <c r="Q4" i="30"/>
  <c r="Q6" i="30"/>
  <c r="S4" i="30"/>
  <c r="S12" i="30"/>
  <c r="S11" i="30"/>
  <c r="S10" i="30"/>
  <c r="S9" i="30"/>
  <c r="S8" i="30"/>
  <c r="S7" i="30"/>
  <c r="R24" i="30"/>
  <c r="R16" i="30"/>
  <c r="R12" i="30"/>
  <c r="R31" i="30"/>
  <c r="I51" i="30"/>
  <c r="J51" i="30" s="1"/>
  <c r="K51" i="30" s="1"/>
  <c r="R6" i="30"/>
  <c r="R9" i="30"/>
  <c r="R17" i="30"/>
  <c r="R10" i="30"/>
  <c r="R60" i="30"/>
  <c r="R57" i="30"/>
  <c r="R59" i="30"/>
  <c r="R58" i="30"/>
  <c r="R56" i="30"/>
  <c r="R55" i="30"/>
  <c r="R41" i="30"/>
  <c r="R42" i="30"/>
  <c r="R48" i="30"/>
  <c r="T48" i="30" s="1"/>
  <c r="W48" i="30" s="1"/>
  <c r="R47" i="30"/>
  <c r="T47" i="30" s="1"/>
  <c r="W47" i="30" s="1"/>
  <c r="R44" i="30"/>
  <c r="R40" i="30"/>
  <c r="T40" i="30" s="1"/>
  <c r="W40" i="30" s="1"/>
  <c r="R46" i="30"/>
  <c r="R34" i="30"/>
  <c r="R33" i="30"/>
  <c r="R32" i="30"/>
  <c r="R7" i="30"/>
  <c r="R54" i="30"/>
  <c r="R22" i="30"/>
  <c r="R53" i="30"/>
  <c r="R4" i="30"/>
  <c r="R30" i="30"/>
  <c r="R52" i="30"/>
  <c r="R20" i="30"/>
  <c r="R19" i="30"/>
  <c r="R28" i="30"/>
  <c r="R8" i="30"/>
  <c r="R36" i="30"/>
  <c r="R35" i="30"/>
  <c r="R23" i="30"/>
  <c r="R21" i="30"/>
  <c r="R5" i="30"/>
  <c r="R29" i="30"/>
  <c r="R11" i="30"/>
  <c r="R18" i="30"/>
  <c r="I27" i="30"/>
  <c r="J27" i="30" s="1"/>
  <c r="K27" i="30" s="1"/>
  <c r="I3" i="30"/>
  <c r="J3" i="30" s="1"/>
  <c r="K3" i="30" s="1"/>
  <c r="R45" i="30"/>
  <c r="I39" i="30"/>
  <c r="J39" i="30" s="1"/>
  <c r="K39" i="30" s="1"/>
  <c r="R43" i="30"/>
  <c r="T43" i="30" s="1"/>
  <c r="W43" i="30" s="1"/>
  <c r="I15" i="30"/>
  <c r="J15" i="30" s="1"/>
  <c r="K15" i="30" s="1"/>
  <c r="D3" i="6"/>
  <c r="S3" i="6" s="1"/>
  <c r="F3" i="5"/>
  <c r="S3" i="5" s="1"/>
  <c r="X3" i="6"/>
  <c r="K4" i="12"/>
  <c r="K7" i="12"/>
  <c r="D3" i="7"/>
  <c r="S3" i="12"/>
  <c r="K5" i="8"/>
  <c r="T4" i="7"/>
  <c r="T5" i="7"/>
  <c r="T6" i="7"/>
  <c r="T7" i="7"/>
  <c r="S4" i="7"/>
  <c r="S5" i="7"/>
  <c r="S6" i="7"/>
  <c r="S7" i="7"/>
  <c r="R4" i="7"/>
  <c r="R5" i="7"/>
  <c r="R6" i="7"/>
  <c r="R7" i="7"/>
  <c r="T7" i="5"/>
  <c r="T4" i="6"/>
  <c r="T5" i="6"/>
  <c r="T7" i="6"/>
  <c r="S4" i="6"/>
  <c r="S5" i="6"/>
  <c r="S6" i="6"/>
  <c r="S7" i="6"/>
  <c r="R4" i="6"/>
  <c r="R5" i="6"/>
  <c r="R6" i="6"/>
  <c r="R7" i="6"/>
  <c r="H7" i="8"/>
  <c r="I7" i="8" s="1"/>
  <c r="W7" i="8" s="1"/>
  <c r="D11" i="6"/>
  <c r="X5" i="6" s="1"/>
  <c r="D12" i="6"/>
  <c r="X6" i="6" s="1"/>
  <c r="D13" i="6"/>
  <c r="X7" i="6" s="1"/>
  <c r="D10" i="6"/>
  <c r="X4" i="6" s="1"/>
  <c r="H7" i="6"/>
  <c r="I7" i="6" s="1"/>
  <c r="W7" i="6" s="1"/>
  <c r="H4" i="6"/>
  <c r="I4" i="6" s="1"/>
  <c r="W4" i="6" s="1"/>
  <c r="Y4" i="6" s="1"/>
  <c r="H5" i="6"/>
  <c r="I5" i="6" s="1"/>
  <c r="W5" i="6" s="1"/>
  <c r="H6" i="6"/>
  <c r="I6" i="6" s="1"/>
  <c r="W6" i="6" s="1"/>
  <c r="T7" i="8"/>
  <c r="R7" i="8"/>
  <c r="D11" i="7"/>
  <c r="D12" i="7"/>
  <c r="X6" i="7" s="1"/>
  <c r="D13" i="7"/>
  <c r="X7" i="7" s="1"/>
  <c r="D10" i="7"/>
  <c r="S45" i="30" s="1"/>
  <c r="D11" i="5"/>
  <c r="Y5" i="5" s="1"/>
  <c r="D12" i="5"/>
  <c r="Y6" i="5" s="1"/>
  <c r="D13" i="5"/>
  <c r="Y7" i="5" s="1"/>
  <c r="D10" i="5"/>
  <c r="S56" i="30" s="1"/>
  <c r="R3" i="8"/>
  <c r="F3" i="8"/>
  <c r="J4" i="8" s="1"/>
  <c r="G3" i="8"/>
  <c r="E3" i="8"/>
  <c r="D13" i="8"/>
  <c r="D11" i="8"/>
  <c r="S22" i="30" s="1"/>
  <c r="D12" i="8"/>
  <c r="D10" i="8"/>
  <c r="X5" i="8" s="1"/>
  <c r="J6" i="5"/>
  <c r="L6" i="5" s="1"/>
  <c r="J5" i="5"/>
  <c r="L5" i="5" s="1"/>
  <c r="M5" i="5" s="1"/>
  <c r="J7" i="5"/>
  <c r="L7" i="5" s="1"/>
  <c r="J4" i="5"/>
  <c r="L4" i="5" s="1"/>
  <c r="I3" i="5"/>
  <c r="G3" i="5"/>
  <c r="H3" i="5"/>
  <c r="H4" i="12"/>
  <c r="S4" i="5"/>
  <c r="T4" i="5"/>
  <c r="U4" i="5"/>
  <c r="S5" i="5"/>
  <c r="T5" i="5"/>
  <c r="U5" i="5"/>
  <c r="T6" i="5"/>
  <c r="U6" i="5"/>
  <c r="S7" i="5"/>
  <c r="U7" i="5"/>
  <c r="H7" i="12"/>
  <c r="L7" i="12" s="1"/>
  <c r="T4" i="8"/>
  <c r="T5" i="8"/>
  <c r="T6" i="8"/>
  <c r="R4" i="8"/>
  <c r="R5" i="8"/>
  <c r="R6" i="8"/>
  <c r="Y4" i="5" l="1"/>
  <c r="S52" i="30"/>
  <c r="Y3" i="5"/>
  <c r="S53" i="30"/>
  <c r="T53" i="30" s="1"/>
  <c r="W53" i="30" s="1"/>
  <c r="X53" i="30" s="1"/>
  <c r="S54" i="30"/>
  <c r="T54" i="30" s="1"/>
  <c r="W54" i="30" s="1"/>
  <c r="X54" i="30" s="1"/>
  <c r="P21" i="30"/>
  <c r="M3" i="30"/>
  <c r="P7" i="30"/>
  <c r="V7" i="30" s="1"/>
  <c r="T4" i="30"/>
  <c r="W4" i="30" s="1"/>
  <c r="N3" i="30"/>
  <c r="T8" i="30"/>
  <c r="W8" i="30" s="1"/>
  <c r="T10" i="30"/>
  <c r="W10" i="30" s="1"/>
  <c r="T6" i="30"/>
  <c r="W6" i="30" s="1"/>
  <c r="T11" i="30"/>
  <c r="W11" i="30" s="1"/>
  <c r="T5" i="30"/>
  <c r="W5" i="30" s="1"/>
  <c r="T12" i="30"/>
  <c r="W12" i="30" s="1"/>
  <c r="P17" i="30"/>
  <c r="S18" i="30"/>
  <c r="S17" i="30"/>
  <c r="S16" i="30"/>
  <c r="T16" i="30" s="1"/>
  <c r="W16" i="30" s="1"/>
  <c r="S21" i="30"/>
  <c r="T21" i="30" s="1"/>
  <c r="W21" i="30" s="1"/>
  <c r="X21" i="30" s="1"/>
  <c r="T7" i="30"/>
  <c r="W7" i="30" s="1"/>
  <c r="K3" i="4"/>
  <c r="L3" i="4" s="1"/>
  <c r="I3" i="4"/>
  <c r="T9" i="30"/>
  <c r="W9" i="30" s="1"/>
  <c r="P42" i="30"/>
  <c r="P30" i="30"/>
  <c r="P43" i="30"/>
  <c r="P41" i="30"/>
  <c r="P40" i="30"/>
  <c r="Q43" i="30"/>
  <c r="V43" i="30" s="1"/>
  <c r="X43" i="30" s="1"/>
  <c r="P55" i="30"/>
  <c r="P53" i="30"/>
  <c r="P31" i="30"/>
  <c r="P52" i="30"/>
  <c r="O27" i="30"/>
  <c r="Q32" i="30"/>
  <c r="V32" i="30" s="1"/>
  <c r="P23" i="30"/>
  <c r="X40" i="30"/>
  <c r="X47" i="30"/>
  <c r="Q7" i="30"/>
  <c r="M51" i="30"/>
  <c r="Q51" i="30" s="1"/>
  <c r="V51" i="30" s="1"/>
  <c r="P45" i="30"/>
  <c r="P54" i="30"/>
  <c r="P18" i="30"/>
  <c r="P34" i="30"/>
  <c r="O15" i="30"/>
  <c r="T3" i="6"/>
  <c r="R3" i="6"/>
  <c r="Q20" i="30"/>
  <c r="V20" i="30" s="1"/>
  <c r="Q19" i="30"/>
  <c r="V19" i="30" s="1"/>
  <c r="S34" i="30"/>
  <c r="S32" i="30"/>
  <c r="P32" i="30"/>
  <c r="P28" i="30"/>
  <c r="Q34" i="30"/>
  <c r="V34" i="30" s="1"/>
  <c r="X5" i="7"/>
  <c r="S46" i="30"/>
  <c r="P24" i="30"/>
  <c r="Q56" i="30"/>
  <c r="V56" i="30" s="1"/>
  <c r="Q18" i="30"/>
  <c r="V18" i="30" s="1"/>
  <c r="N15" i="30"/>
  <c r="Q33" i="30"/>
  <c r="V33" i="30" s="1"/>
  <c r="P29" i="30"/>
  <c r="P36" i="30"/>
  <c r="O51" i="30"/>
  <c r="N39" i="30"/>
  <c r="P56" i="30"/>
  <c r="P35" i="30"/>
  <c r="P33" i="30"/>
  <c r="M27" i="30"/>
  <c r="P60" i="30"/>
  <c r="P19" i="30"/>
  <c r="P20" i="30"/>
  <c r="P46" i="30"/>
  <c r="P47" i="30"/>
  <c r="P57" i="30"/>
  <c r="P58" i="30"/>
  <c r="P16" i="30"/>
  <c r="M39" i="30"/>
  <c r="N27" i="30"/>
  <c r="N51" i="30"/>
  <c r="P59" i="30"/>
  <c r="O39" i="30"/>
  <c r="Q48" i="30"/>
  <c r="V48" i="30" s="1"/>
  <c r="X48" i="30" s="1"/>
  <c r="P48" i="30"/>
  <c r="T3" i="5"/>
  <c r="U3" i="5"/>
  <c r="Q8" i="30"/>
  <c r="P8" i="30" s="1"/>
  <c r="V9" i="30"/>
  <c r="Q10" i="30"/>
  <c r="P10" i="30" s="1"/>
  <c r="V10" i="30" s="1"/>
  <c r="V11" i="30"/>
  <c r="P12" i="30"/>
  <c r="V5" i="30"/>
  <c r="V4" i="30"/>
  <c r="T17" i="30"/>
  <c r="W17" i="30" s="1"/>
  <c r="X17" i="30" s="1"/>
  <c r="S42" i="30"/>
  <c r="T42" i="30" s="1"/>
  <c r="W42" i="30" s="1"/>
  <c r="X42" i="30" s="1"/>
  <c r="T45" i="30"/>
  <c r="W45" i="30" s="1"/>
  <c r="X45" i="30" s="1"/>
  <c r="X4" i="7"/>
  <c r="S44" i="30"/>
  <c r="T44" i="30" s="1"/>
  <c r="W44" i="30" s="1"/>
  <c r="X44" i="30" s="1"/>
  <c r="S41" i="30"/>
  <c r="T41" i="30" s="1"/>
  <c r="W41" i="30" s="1"/>
  <c r="X41" i="30" s="1"/>
  <c r="T56" i="30"/>
  <c r="W56" i="30" s="1"/>
  <c r="S55" i="30"/>
  <c r="T55" i="30" s="1"/>
  <c r="W55" i="30" s="1"/>
  <c r="X55" i="30" s="1"/>
  <c r="S57" i="30"/>
  <c r="T57" i="30" s="1"/>
  <c r="W57" i="30" s="1"/>
  <c r="X57" i="30" s="1"/>
  <c r="S58" i="30"/>
  <c r="T58" i="30" s="1"/>
  <c r="W58" i="30" s="1"/>
  <c r="X58" i="30" s="1"/>
  <c r="S59" i="30"/>
  <c r="T59" i="30" s="1"/>
  <c r="W59" i="30" s="1"/>
  <c r="X59" i="30" s="1"/>
  <c r="T52" i="30"/>
  <c r="W52" i="30" s="1"/>
  <c r="X52" i="30" s="1"/>
  <c r="S60" i="30"/>
  <c r="T60" i="30" s="1"/>
  <c r="W60" i="30" s="1"/>
  <c r="X60" i="30" s="1"/>
  <c r="S35" i="30"/>
  <c r="T35" i="30" s="1"/>
  <c r="W35" i="30" s="1"/>
  <c r="X35" i="30" s="1"/>
  <c r="S28" i="30"/>
  <c r="T28" i="30" s="1"/>
  <c r="W28" i="30" s="1"/>
  <c r="X28" i="30" s="1"/>
  <c r="S31" i="30"/>
  <c r="T31" i="30" s="1"/>
  <c r="W31" i="30" s="1"/>
  <c r="X31" i="30" s="1"/>
  <c r="S36" i="30"/>
  <c r="T36" i="30" s="1"/>
  <c r="W36" i="30" s="1"/>
  <c r="X36" i="30" s="1"/>
  <c r="S29" i="30"/>
  <c r="T29" i="30" s="1"/>
  <c r="W29" i="30" s="1"/>
  <c r="X29" i="30" s="1"/>
  <c r="S33" i="30"/>
  <c r="T33" i="30" s="1"/>
  <c r="W33" i="30" s="1"/>
  <c r="S30" i="30"/>
  <c r="T30" i="30" s="1"/>
  <c r="W30" i="30" s="1"/>
  <c r="X30" i="30" s="1"/>
  <c r="T22" i="30"/>
  <c r="W22" i="30" s="1"/>
  <c r="X22" i="30" s="1"/>
  <c r="S19" i="30"/>
  <c r="T19" i="30" s="1"/>
  <c r="W19" i="30" s="1"/>
  <c r="S23" i="30"/>
  <c r="T23" i="30" s="1"/>
  <c r="W23" i="30" s="1"/>
  <c r="X23" i="30" s="1"/>
  <c r="T18" i="30"/>
  <c r="W18" i="30" s="1"/>
  <c r="S20" i="30"/>
  <c r="T20" i="30" s="1"/>
  <c r="W20" i="30" s="1"/>
  <c r="S24" i="30"/>
  <c r="T24" i="30" s="1"/>
  <c r="W24" i="30" s="1"/>
  <c r="X24" i="30" s="1"/>
  <c r="R51" i="30"/>
  <c r="T51" i="30" s="1"/>
  <c r="R27" i="30"/>
  <c r="T27" i="30" s="1"/>
  <c r="R39" i="30"/>
  <c r="T39" i="30" s="1"/>
  <c r="R15" i="30"/>
  <c r="T15" i="30" s="1"/>
  <c r="R3" i="30"/>
  <c r="T3" i="30" s="1"/>
  <c r="Y6" i="6"/>
  <c r="Y5" i="6"/>
  <c r="X4" i="8"/>
  <c r="T3" i="12"/>
  <c r="R3" i="12"/>
  <c r="K7" i="8"/>
  <c r="V8" i="12"/>
  <c r="U8" i="12" s="1"/>
  <c r="K7" i="5"/>
  <c r="X7" i="5" s="1"/>
  <c r="K5" i="5"/>
  <c r="X5" i="5" s="1"/>
  <c r="Z5" i="5" s="1"/>
  <c r="K4" i="5"/>
  <c r="X4" i="5" s="1"/>
  <c r="Z4" i="5" s="1"/>
  <c r="K6" i="5"/>
  <c r="X6" i="5" s="1"/>
  <c r="Z6" i="5" s="1"/>
  <c r="M4" i="5"/>
  <c r="M7" i="5"/>
  <c r="L4" i="6"/>
  <c r="L6" i="6"/>
  <c r="L5" i="6"/>
  <c r="L7" i="8"/>
  <c r="M6" i="5"/>
  <c r="V4" i="7"/>
  <c r="U4" i="7" s="1"/>
  <c r="V5" i="7"/>
  <c r="U5" i="7" s="1"/>
  <c r="V6" i="7"/>
  <c r="U6" i="7" s="1"/>
  <c r="V7" i="7"/>
  <c r="U7" i="7" s="1"/>
  <c r="X6" i="8"/>
  <c r="X3" i="8"/>
  <c r="V4" i="12"/>
  <c r="U4" i="12" s="1"/>
  <c r="X7" i="8"/>
  <c r="Y7" i="8" s="1"/>
  <c r="T3" i="8"/>
  <c r="Y7" i="6"/>
  <c r="H3" i="7"/>
  <c r="J3" i="5"/>
  <c r="W7" i="12"/>
  <c r="V7" i="8"/>
  <c r="U7" i="8" s="1"/>
  <c r="V7" i="12"/>
  <c r="U7" i="12" s="1"/>
  <c r="V4" i="8"/>
  <c r="U4" i="8" s="1"/>
  <c r="V5" i="8"/>
  <c r="U5" i="8" s="1"/>
  <c r="V6" i="8"/>
  <c r="U6" i="8" s="1"/>
  <c r="V3" i="6"/>
  <c r="U3" i="6" s="1"/>
  <c r="V4" i="6"/>
  <c r="U4" i="6" s="1"/>
  <c r="F3" i="6"/>
  <c r="E3" i="6"/>
  <c r="V6" i="6"/>
  <c r="U6" i="6" s="1"/>
  <c r="V5" i="6"/>
  <c r="U5" i="6" s="1"/>
  <c r="E3" i="12"/>
  <c r="F3" i="12"/>
  <c r="G3" i="12"/>
  <c r="H8" i="12"/>
  <c r="H6" i="12"/>
  <c r="I6" i="12" s="1"/>
  <c r="W6" i="4" s="1"/>
  <c r="Y6" i="4" s="1"/>
  <c r="H5" i="12"/>
  <c r="H3" i="12"/>
  <c r="W5" i="5"/>
  <c r="V5" i="5" s="1"/>
  <c r="W6" i="5"/>
  <c r="V6" i="5" s="1"/>
  <c r="W7" i="5"/>
  <c r="V7" i="5" s="1"/>
  <c r="W4" i="5"/>
  <c r="V4" i="5" s="1"/>
  <c r="H6" i="8"/>
  <c r="H5" i="8"/>
  <c r="I5" i="8" s="1"/>
  <c r="L5" i="8" s="1"/>
  <c r="H4" i="8"/>
  <c r="I4" i="8" s="1"/>
  <c r="L4" i="8" s="1"/>
  <c r="H7" i="7"/>
  <c r="H6" i="7"/>
  <c r="H5" i="7"/>
  <c r="H4" i="7"/>
  <c r="X11" i="30" l="1"/>
  <c r="X9" i="30"/>
  <c r="I4" i="7"/>
  <c r="K4" i="7"/>
  <c r="I7" i="7"/>
  <c r="L7" i="7" s="1"/>
  <c r="I7" i="4"/>
  <c r="L7" i="4" s="1"/>
  <c r="K4" i="8"/>
  <c r="V12" i="30"/>
  <c r="X12" i="30" s="1"/>
  <c r="Q15" i="30"/>
  <c r="V15" i="30" s="1"/>
  <c r="X15" i="30" s="1"/>
  <c r="X20" i="30"/>
  <c r="X56" i="30"/>
  <c r="X33" i="30"/>
  <c r="X19" i="30"/>
  <c r="X18" i="30"/>
  <c r="X51" i="30"/>
  <c r="Q27" i="30"/>
  <c r="V27" i="30" s="1"/>
  <c r="X27" i="30" s="1"/>
  <c r="T32" i="30"/>
  <c r="W32" i="30" s="1"/>
  <c r="X32" i="30" s="1"/>
  <c r="T34" i="30"/>
  <c r="W34" i="30" s="1"/>
  <c r="X34" i="30" s="1"/>
  <c r="T46" i="30"/>
  <c r="W46" i="30" s="1"/>
  <c r="X46" i="30" s="1"/>
  <c r="I6" i="7"/>
  <c r="W6" i="7" s="1"/>
  <c r="Y6" i="7" s="1"/>
  <c r="P51" i="30"/>
  <c r="P27" i="30"/>
  <c r="X10" i="30"/>
  <c r="P39" i="30"/>
  <c r="P15" i="30"/>
  <c r="Q39" i="30"/>
  <c r="V39" i="30" s="1"/>
  <c r="X39" i="30" s="1"/>
  <c r="X4" i="30"/>
  <c r="X5" i="30"/>
  <c r="X6" i="30"/>
  <c r="X7" i="30"/>
  <c r="Q3" i="30"/>
  <c r="L3" i="5"/>
  <c r="M3" i="5" s="1"/>
  <c r="K3" i="5"/>
  <c r="I5" i="7"/>
  <c r="W5" i="7" s="1"/>
  <c r="Y5" i="7" s="1"/>
  <c r="K5" i="7"/>
  <c r="K7" i="7"/>
  <c r="I3" i="7"/>
  <c r="K6" i="7"/>
  <c r="K6" i="12"/>
  <c r="L8" i="12"/>
  <c r="K8" i="12"/>
  <c r="L5" i="12"/>
  <c r="K3" i="12"/>
  <c r="Z7" i="5"/>
  <c r="I6" i="8"/>
  <c r="L6" i="8" s="1"/>
  <c r="K6" i="8"/>
  <c r="W4" i="7"/>
  <c r="Y4" i="7" s="1"/>
  <c r="L4" i="7"/>
  <c r="V3" i="8"/>
  <c r="U3" i="8" s="1"/>
  <c r="W4" i="12"/>
  <c r="L4" i="12"/>
  <c r="H3" i="8"/>
  <c r="K3" i="8" s="1"/>
  <c r="Y7" i="12"/>
  <c r="W5" i="8"/>
  <c r="Y5" i="8" s="1"/>
  <c r="W4" i="8"/>
  <c r="Y4" i="8" s="1"/>
  <c r="G3" i="6"/>
  <c r="H3" i="6" s="1"/>
  <c r="V3" i="12"/>
  <c r="U3" i="12" s="1"/>
  <c r="W3" i="5"/>
  <c r="V3" i="5" s="1"/>
  <c r="X3" i="30" l="1"/>
  <c r="P3" i="30"/>
  <c r="Y3" i="7"/>
  <c r="X3" i="5"/>
  <c r="Z3" i="5" s="1"/>
  <c r="W3" i="12"/>
  <c r="Y3" i="12" s="1"/>
  <c r="L3" i="12"/>
  <c r="L5" i="7"/>
  <c r="W8" i="12"/>
  <c r="Y8" i="12" s="1"/>
  <c r="L6" i="12"/>
  <c r="W6" i="12"/>
  <c r="W5" i="12"/>
  <c r="Y5" i="12" s="1"/>
  <c r="L6" i="7"/>
  <c r="W7" i="7"/>
  <c r="W6" i="8"/>
  <c r="Y6" i="8" s="1"/>
  <c r="Y3" i="8" s="1"/>
  <c r="I3" i="8"/>
  <c r="Y4" i="12"/>
  <c r="I3" i="6"/>
  <c r="V6" i="12"/>
  <c r="V5" i="12"/>
  <c r="U5" i="12" s="1"/>
  <c r="L3" i="6" l="1"/>
  <c r="W3" i="8"/>
  <c r="Y6" i="12"/>
  <c r="L3" i="8"/>
  <c r="W3" i="6"/>
  <c r="Y3" i="6" s="1"/>
  <c r="M15" i="30" l="1"/>
  <c r="Q16" i="30" s="1"/>
  <c r="V16" i="30" s="1"/>
  <c r="X16" i="30" s="1"/>
  <c r="P44" i="30" l="1"/>
  <c r="V8" i="30"/>
  <c r="X8"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Gebruiker</author>
  </authors>
  <commentList>
    <comment ref="I2" authorId="0" shapeId="0" xr:uid="{9657D126-B520-4EE4-8027-428F0537A71A}">
      <text>
        <r>
          <rPr>
            <sz val="11"/>
            <color rgb="FF000000"/>
            <rFont val="Calibri"/>
            <family val="2"/>
          </rPr>
          <t xml:space="preserve">Praktische recovery = Technisch terugwinbaar </t>
        </r>
        <r>
          <rPr>
            <sz val="11"/>
            <color rgb="FF000000"/>
            <rFont val="Calibri"/>
            <family val="2"/>
          </rPr>
          <t>×</t>
        </r>
        <r>
          <rPr>
            <sz val="11"/>
            <color rgb="FF000000"/>
            <rFont val="Calibri"/>
            <family val="2"/>
          </rPr>
          <t xml:space="preserve"> Gem. score / 5</t>
        </r>
      </text>
    </comment>
    <comment ref="U2" authorId="1" shapeId="0" xr:uid="{2E48247F-3FD2-4D22-91BB-DB377CBC5F3A}">
      <text>
        <r>
          <rPr>
            <b/>
            <sz val="9"/>
            <color indexed="81"/>
            <rFont val="Tahoma"/>
            <family val="2"/>
          </rPr>
          <t>Gebruiker: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Gebruiker</author>
    <author>tc={45A7F0D8-CBD5-495D-867B-4AA695B9EAD0}</author>
    <author>tc={EDFFF571-6B94-4B10-8948-3A939EFB1000}</author>
    <author>tc={3EC8A630-8926-46B4-992F-D6B0B1177B66}</author>
  </authors>
  <commentList>
    <comment ref="I2" authorId="0" shapeId="0" xr:uid="{00000000-0006-0000-0700-000001000000}">
      <text>
        <r>
          <rPr>
            <sz val="11"/>
            <color theme="1"/>
            <rFont val="Calibri"/>
            <family val="2"/>
            <scheme val="minor"/>
          </rPr>
          <t>Praktische recovery = Technisch terugwinbaar × Gem. score / 5</t>
        </r>
      </text>
    </comment>
    <comment ref="U2" authorId="1" shapeId="0" xr:uid="{D09E07A7-8C49-4D04-B062-79A10E1C1585}">
      <text>
        <r>
          <rPr>
            <b/>
            <sz val="9"/>
            <color indexed="81"/>
            <rFont val="Tahoma"/>
            <family val="2"/>
          </rPr>
          <t>Gebruiker:</t>
        </r>
        <r>
          <rPr>
            <sz val="9"/>
            <color indexed="81"/>
            <rFont val="Tahoma"/>
            <family val="2"/>
          </rPr>
          <t xml:space="preserve">
</t>
        </r>
      </text>
    </comment>
    <comment ref="C10" authorId="2" shapeId="0" xr:uid="{45A7F0D8-CBD5-495D-867B-4AA695B9EAD0}">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Schoon, recht, goed demontabel staal heeft de beste verkoopbaarheid. </t>
      </text>
    </comment>
    <comment ref="C11" authorId="3" shapeId="0" xr:uid="{EDFFF571-6B94-4B10-8948-3A939EFB1000}">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Nog bruikbaar/recyclebaar, maar lagere factor door coating, roest, vervorming of extra sortering. 
</t>
      </text>
    </comment>
    <comment ref="C13" authorId="4" shapeId="0" xr:uid="{3EC8A630-8926-46B4-992F-D6B0B1177B66}">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Kan waardevol zijn, maar heeft meer onzekerheid door keuring, maatvoering, certificering of beperkte vraag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tc={866DD78C-7AE0-40F0-9213-99417782EA23}</author>
    <author>OpenAI</author>
    <author>tc={629E30A8-C649-401E-9A03-9FA2DEB11149}</author>
    <author>Gebruiker</author>
    <author>tc={FC091E61-462E-4B8B-85D0-F472F594EEEC}</author>
    <author>tc={A77B52EA-DFF3-40FD-92CC-DDBD2688E281}</author>
    <author>tc={141F9298-3D80-4B7A-8FD1-491D672DE862}</author>
    <author>tc={D5B79506-C3BF-4F27-8887-A20CA00D1B52}</author>
  </authors>
  <commentList>
    <comment ref="E2" authorId="0" shapeId="0" xr:uid="{866DD78C-7AE0-40F0-9213-99417782EA23}">
      <text>
        <t>[Opmerkingenthread]
U kunt deze opmerkingenthread lezen in uw versie van Excel. Eventuele wijzigingen aan de thread gaan echter verloren als het bestand wordt geopend in een nieuwere versie van Excel. Meer informatie: https://go.microsoft.com/fwlink/?linkid=870924
Opmerking:
    Dit is na overleg met de opdrachtgever 1 /5 ipv 1-5, omdat Het een ja of nee vraag is.</t>
      </text>
    </comment>
    <comment ref="I2" authorId="1" shapeId="0" xr:uid="{6F9B1C12-A6DD-49F8-8DEE-2F5037457153}">
      <text>
        <r>
          <rPr>
            <sz val="11"/>
            <color theme="1"/>
            <rFont val="Calibri"/>
            <family val="2"/>
            <scheme val="minor"/>
          </rPr>
          <t>Praktische recovery = Technisch terugwinbaar × Gem. score / 5</t>
        </r>
      </text>
    </comment>
    <comment ref="T2" authorId="2" shapeId="0" xr:uid="{629E30A8-C649-401E-9A03-9FA2DEB11149}">
      <text>
        <t>[Opmerkingenthread]
U kunt deze opmerkingenthread lezen in uw versie van Excel. Eventuele wijzigingen aan de thread gaan echter verloren als het bestand wordt geopend in een nieuwere versie van Excel. Meer informatie: https://go.microsoft.com/fwlink/?linkid=870924
Opmerking:
    Kan totale co2 recycling, niet weg omdat het hetzeflde is als hergebruik en hier misschien een kopje van maken</t>
      </text>
    </comment>
    <comment ref="U2" authorId="3" shapeId="0" xr:uid="{5BC65E29-ED8D-47E5-A585-FD02B98FF237}">
      <text>
        <r>
          <rPr>
            <b/>
            <sz val="9"/>
            <color indexed="81"/>
            <rFont val="Tahoma"/>
            <family val="2"/>
          </rPr>
          <t>Gebruiker:</t>
        </r>
        <r>
          <rPr>
            <sz val="9"/>
            <color indexed="81"/>
            <rFont val="Tahoma"/>
            <family val="2"/>
          </rPr>
          <t xml:space="preserve">
</t>
        </r>
      </text>
    </comment>
    <comment ref="G4" authorId="4" shapeId="0" xr:uid="{FC091E61-462E-4B8B-85D0-F472F594EEEC}">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Schoon betonpuin, ongewapend beton, prefab betonresten, betontegels, betonklinkers 
</t>
      </text>
    </comment>
    <comment ref="H4" authorId="5" shapeId="0" xr:uid="{A77B52EA-DFF3-40FD-92CC-DDBD2688E281}">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Hergebruik of hoogwaardige recycling </t>
      </text>
    </comment>
    <comment ref="G5" authorId="6" shapeId="0" xr:uid="{141F9298-3D80-4B7A-8FD1-491D672DE86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Gewapende vloer, betonnen balk, betonnen wand, beton met lichte coating </t>
      </text>
    </comment>
    <comment ref="H5" authorId="7" shapeId="0" xr:uid="{D5B79506-C3BF-4F27-8887-A20CA00D1B5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Recycling tot betongranulaat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tc={49B945A8-B3D8-49C8-8525-A0C872ED5BE9}</author>
    <author>Gebruiker</author>
    <author>tc={78338529-F088-4291-9D30-65B0F573F248}</author>
    <author>tc={96865A99-3AF0-4675-9D32-C79A953CBCD6}</author>
    <author>tc={E28276EC-50DC-4C26-890B-EB8737F35123}</author>
  </authors>
  <commentList>
    <comment ref="K2" authorId="0" shapeId="0" xr:uid="{DBFD03F4-89B6-402D-8CF8-3558126A2570}">
      <text>
        <r>
          <rPr>
            <sz val="11"/>
            <color theme="1"/>
            <rFont val="Calibri"/>
            <family val="2"/>
            <scheme val="minor"/>
          </rPr>
          <t>Praktische recovery = Technisch terugwinbaar × Gem. score / 5</t>
        </r>
      </text>
    </comment>
    <comment ref="S2" authorId="1" shapeId="0" xr:uid="{49B945A8-B3D8-49C8-8525-A0C872ED5BE9}">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Voor de vereglijking van hergebruik/recycling met nieuwe productie om de bespaarde/vermeden co2 duidelijk te maken.  </t>
      </text>
    </comment>
    <comment ref="V2" authorId="2" shapeId="0" xr:uid="{FD21A341-7AEB-4BF2-957F-74EE00849D0F}">
      <text>
        <r>
          <rPr>
            <b/>
            <sz val="9"/>
            <color indexed="81"/>
            <rFont val="Tahoma"/>
            <family val="2"/>
          </rPr>
          <t>Gebruiker:</t>
        </r>
        <r>
          <rPr>
            <sz val="9"/>
            <color indexed="81"/>
            <rFont val="Tahoma"/>
            <family val="2"/>
          </rPr>
          <t xml:space="preserve">
</t>
        </r>
      </text>
    </comment>
    <comment ref="H4" authorId="3" shapeId="0" xr:uid="{78338529-F088-4291-9D30-65B0F573F248}">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dakgoten in de praktijk vervuild kunnen zijn door oxidatie, soldeer, kit, verfrestanten of aanhangende bevestigingsmaterialen. (Copper Recycling - International Copper Association, 2022) </t>
      </text>
    </comment>
    <comment ref="I4" authorId="4" shapeId="0" xr:uid="{96865A99-3AF0-4675-9D32-C79A953CBCD6}">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(Energy, Climate &amp; Copper, Webinar Series, 2014) 
</t>
      </text>
    </comment>
    <comment ref="H6" authorId="5" shapeId="0" xr:uid="{E28276EC-50DC-4C26-890B-EB8737F35123}">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Geel koper/messing is geen zuiver rood koper, maar een koperlegering. Daarnaast kunnen koppelingen, kalk, soldeer, kunststofresten of andere metalen aanwezig zijn. Daarom ligt de materiaalconditie lager dan bij schoon rood koper.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OpenAI</author>
    <author>Gebruiker</author>
    <author>tc={20D2F2E3-FD1B-4B74-80E4-23755F4E0EEB}</author>
    <author>tc={8F6A51F4-361B-4E15-B2BD-77FF316F8AE2}</author>
  </authors>
  <commentList>
    <comment ref="I2" authorId="0" shapeId="0" xr:uid="{00000000-0006-0000-0600-000001000000}">
      <text>
        <r>
          <rPr>
            <sz val="11"/>
            <color theme="1"/>
            <rFont val="Calibri"/>
            <family val="2"/>
            <scheme val="minor"/>
          </rPr>
          <t>Praktische recovery = Technisch terugwinbaar × Gem. score / 5</t>
        </r>
      </text>
    </comment>
    <comment ref="U2" authorId="1" shapeId="0" xr:uid="{34355CA8-49D2-4DCE-9A9D-0D6CEACE2A15}">
      <text>
        <r>
          <rPr>
            <b/>
            <sz val="9"/>
            <color indexed="81"/>
            <rFont val="Tahoma"/>
            <family val="2"/>
          </rPr>
          <t>Gebruiker:</t>
        </r>
        <r>
          <rPr>
            <sz val="9"/>
            <color indexed="81"/>
            <rFont val="Tahoma"/>
            <family val="2"/>
          </rPr>
          <t xml:space="preserve">
</t>
        </r>
      </text>
    </comment>
    <comment ref="C4" authorId="2" shapeId="0" xr:uid="{20D2F2E3-FD1B-4B74-80E4-23755F4E0EEB}">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omdat profielen en kozijnen vaak mechanisch bevestigd zijn en relatief goed losgemaakt kunnen worden. Geen 5, omdat kit, glas, schroeven, ankers of aansluitdetails extra werk geven </t>
      </text>
    </comment>
    <comment ref="C7" authorId="3" shapeId="0" xr:uid="{8F6A51F4-361B-4E15-B2BD-77FF316F8AE2}">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Demontagebaarheid krijgt 2,5, omdat composiet- of gemengde materialen vaak moeilijker schoon te scheiden zijn. Materiaalconditie krijgt 2,5, omdat het aluminium vermengd kan zijn met kunststof, lijm, coating of andere materialen.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OpenAI</author>
    <author>Gebruiker</author>
  </authors>
  <commentList>
    <comment ref="I2" authorId="0" shapeId="0" xr:uid="{1A70AF4A-1A1E-4866-ABB3-0652AB1AA55E}">
      <text>
        <r>
          <rPr>
            <sz val="11"/>
            <color rgb="FF000000"/>
            <rFont val="Calibri"/>
            <family val="2"/>
          </rPr>
          <t xml:space="preserve">Praktische recovery = Technisch terugwinbaar </t>
        </r>
        <r>
          <rPr>
            <sz val="11"/>
            <color rgb="FF000000"/>
            <rFont val="Calibri"/>
            <family val="2"/>
          </rPr>
          <t>×</t>
        </r>
        <r>
          <rPr>
            <sz val="11"/>
            <color rgb="FF000000"/>
            <rFont val="Calibri"/>
            <family val="2"/>
          </rPr>
          <t xml:space="preserve"> Gem. score / 5</t>
        </r>
      </text>
    </comment>
    <comment ref="U2" authorId="1" shapeId="0" xr:uid="{B61D90D8-F16B-46EC-BCDE-80B82E5A8CB1}">
      <text>
        <r>
          <rPr>
            <b/>
            <sz val="9"/>
            <color indexed="81"/>
            <rFont val="Tahoma"/>
            <family val="2"/>
          </rPr>
          <t>Gebruiker:</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38996-2FB5-4503-88FD-F626D04131F1}" keepAlive="1" name="Query - Tabel14" description="Verbinding maken met de query Tabel14 in de werkmap." type="5" refreshedVersion="0" background="1" saveData="1">
    <dbPr connection="Provider=Microsoft.Mashup.OleDb.1;Data Source=$Workbook$;Location=Tabel14;Extended Properties=&quot;&quot;" command="SELECT * FROM [Tabel14]"/>
  </connection>
</connections>
</file>

<file path=xl/sharedStrings.xml><?xml version="1.0" encoding="utf-8"?>
<sst xmlns="http://schemas.openxmlformats.org/spreadsheetml/2006/main" count="1070" uniqueCount="439">
  <si>
    <t>Lagenda</t>
  </si>
  <si>
    <t>Formule</t>
  </si>
  <si>
    <t>Categorie</t>
  </si>
  <si>
    <t>Wanneer score je Ja?</t>
  </si>
  <si>
    <t>Wanneer score je Nee?</t>
  </si>
  <si>
    <t>Wanneer score je Handmatig?</t>
  </si>
  <si>
    <t xml:space="preserve">Doel: </t>
  </si>
  <si>
    <t>Deze workbook vult ontbrekende recovery-velden in met referentie-eenheden en conservatieve aannames.</t>
  </si>
  <si>
    <t>Financieel positief?</t>
  </si>
  <si>
    <r>
      <t xml:space="preserve">Als de financiële marktwaarde </t>
    </r>
    <r>
      <rPr>
        <b/>
        <sz val="11"/>
        <color theme="1"/>
        <rFont val="Calibri"/>
        <family val="2"/>
        <scheme val="minor"/>
      </rPr>
      <t>groter is dan €0</t>
    </r>
    <r>
      <rPr>
        <sz val="11"/>
        <color theme="1"/>
        <rFont val="Calibri"/>
        <family val="2"/>
        <scheme val="minor"/>
      </rPr>
      <t>.</t>
    </r>
  </si>
  <si>
    <r>
      <t xml:space="preserve">Als de financiële marktwaarde </t>
    </r>
    <r>
      <rPr>
        <b/>
        <sz val="11"/>
        <color theme="1"/>
        <rFont val="Calibri"/>
        <family val="2"/>
        <scheme val="minor"/>
      </rPr>
      <t>€0 of lager</t>
    </r>
    <r>
      <rPr>
        <sz val="11"/>
        <color theme="1"/>
        <rFont val="Calibri"/>
        <family val="2"/>
        <scheme val="minor"/>
      </rPr>
      <t xml:space="preserve"> is.</t>
    </r>
  </si>
  <si>
    <r>
      <t xml:space="preserve">Als de klasse </t>
    </r>
    <r>
      <rPr>
        <b/>
        <sz val="11"/>
        <color theme="1"/>
        <rFont val="Calibri"/>
        <family val="2"/>
        <scheme val="minor"/>
      </rPr>
      <t>Totaal</t>
    </r>
    <r>
      <rPr>
        <sz val="11"/>
        <color theme="1"/>
        <rFont val="Calibri"/>
        <family val="2"/>
        <scheme val="minor"/>
      </rPr>
      <t xml:space="preserve">, leeg of </t>
    </r>
    <r>
      <rPr>
        <b/>
        <sz val="11"/>
        <color theme="1"/>
        <rFont val="Calibri"/>
        <family val="2"/>
        <scheme val="minor"/>
      </rPr>
      <t>Handmatig beoordelen</t>
    </r>
    <r>
      <rPr>
        <sz val="11"/>
        <color theme="1"/>
        <rFont val="Calibri"/>
        <family val="2"/>
        <scheme val="minor"/>
      </rPr>
      <t xml:space="preserve"> is.</t>
    </r>
  </si>
  <si>
    <t xml:space="preserve">Belangrijk: </t>
  </si>
  <si>
    <t>Klimaatpositief?</t>
  </si>
  <si>
    <r>
      <t xml:space="preserve">Als het klimaat-routeadvies aangeeft dat </t>
    </r>
    <r>
      <rPr>
        <b/>
        <sz val="11"/>
        <color theme="1"/>
        <rFont val="Calibri"/>
        <family val="2"/>
        <scheme val="minor"/>
      </rPr>
      <t>hergebruik of recycling klimaatvriendelijker</t>
    </r>
    <r>
      <rPr>
        <sz val="11"/>
        <color theme="1"/>
        <rFont val="Calibri"/>
        <family val="2"/>
        <scheme val="minor"/>
      </rPr>
      <t xml:space="preserve"> is.</t>
    </r>
  </si>
  <si>
    <t>Als er geen klimaatvoordeel uit het model komt.</t>
  </si>
  <si>
    <t>Als er geen klimaatadvies is of de klasse handmatig beoordeeld moet worden.</t>
  </si>
  <si>
    <t>Praktische recovery rate (%) =</t>
  </si>
  <si>
    <t>=ALS.FOUT(AFRONDEN([@[Gem. score]]/5;2);0)</t>
  </si>
  <si>
    <t>Recovery hoog?</t>
  </si>
  <si>
    <t>Als er geen PRR is of de klasse handmatig beoordeeld moet worden.</t>
  </si>
  <si>
    <t xml:space="preserve">Gem. score = </t>
  </si>
  <si>
    <t>Gemiddelde van Demonteerbaarheid, Materiaalconditie en Marktpotentie</t>
  </si>
  <si>
    <t>Eindbeoordeling</t>
  </si>
  <si>
    <r>
      <t>Interessant</t>
    </r>
    <r>
      <rPr>
        <sz val="11"/>
        <color theme="1"/>
        <rFont val="Calibri"/>
        <family val="2"/>
        <scheme val="minor"/>
      </rPr>
      <t xml:space="preserve"> bij minimaal </t>
    </r>
    <r>
      <rPr>
        <b/>
        <sz val="11"/>
        <color theme="1"/>
        <rFont val="Calibri"/>
        <family val="2"/>
        <scheme val="minor"/>
      </rPr>
      <t>2 keer Ja</t>
    </r>
    <r>
      <rPr>
        <sz val="11"/>
        <color theme="1"/>
        <rFont val="Calibri"/>
        <family val="2"/>
        <scheme val="minor"/>
      </rPr>
      <t>.</t>
    </r>
  </si>
  <si>
    <r>
      <t>Niet interessant</t>
    </r>
    <r>
      <rPr>
        <sz val="11"/>
        <color theme="1"/>
        <rFont val="Calibri"/>
        <family val="2"/>
        <scheme val="minor"/>
      </rPr>
      <t xml:space="preserve"> bij </t>
    </r>
    <r>
      <rPr>
        <b/>
        <sz val="11"/>
        <color theme="1"/>
        <rFont val="Calibri"/>
        <family val="2"/>
        <scheme val="minor"/>
      </rPr>
      <t>0 keer Ja</t>
    </r>
    <r>
      <rPr>
        <sz val="11"/>
        <color theme="1"/>
        <rFont val="Calibri"/>
        <family val="2"/>
        <scheme val="minor"/>
      </rPr>
      <t>.</t>
    </r>
  </si>
  <si>
    <r>
      <t>Twijfelachtig</t>
    </r>
    <r>
      <rPr>
        <sz val="11"/>
        <color theme="1"/>
        <rFont val="Calibri"/>
        <family val="2"/>
        <scheme val="minor"/>
      </rPr>
      <t xml:space="preserve"> bij </t>
    </r>
    <r>
      <rPr>
        <b/>
        <sz val="11"/>
        <color theme="1"/>
        <rFont val="Calibri"/>
        <family val="2"/>
        <scheme val="minor"/>
      </rPr>
      <t>1 keer Ja</t>
    </r>
    <r>
      <rPr>
        <sz val="11"/>
        <color theme="1"/>
        <rFont val="Calibri"/>
        <family val="2"/>
        <scheme val="minor"/>
      </rPr>
      <t xml:space="preserve"> of </t>
    </r>
    <r>
      <rPr>
        <b/>
        <sz val="11"/>
        <color theme="1"/>
        <rFont val="Calibri"/>
        <family val="2"/>
        <scheme val="minor"/>
      </rPr>
      <t>Handmatig beoordelen</t>
    </r>
    <r>
      <rPr>
        <sz val="11"/>
        <color theme="1"/>
        <rFont val="Calibri"/>
        <family val="2"/>
        <scheme val="minor"/>
      </rPr>
      <t xml:space="preserve"> als er te weinig betrouwbare input is.</t>
    </r>
  </si>
  <si>
    <t xml:space="preserve">Hergebruik/recycling </t>
  </si>
  <si>
    <t>Zijn verdeeld op basis van routeadvies via onderstaande lookup-tabel.</t>
  </si>
  <si>
    <t>Gebaseerd op schattingen en waarnemen</t>
  </si>
  <si>
    <t>Routeadvies</t>
  </si>
  <si>
    <t>Betekenis</t>
  </si>
  <si>
    <t>Hergebruik</t>
  </si>
  <si>
    <t>Het materiaal kan grotendeels opnieuw als product of element worden toegepast.</t>
  </si>
  <si>
    <t xml:space="preserve">Recycling </t>
  </si>
  <si>
    <t>Het materiaal wordt verwerkt tot een lagere toepassing.</t>
  </si>
  <si>
    <t>Handmatig beoordelen</t>
  </si>
  <si>
    <t>Het materiaal vraagt extra controle door een expert.</t>
  </si>
  <si>
    <t>Dashboard sloopproject</t>
  </si>
  <si>
    <t>Materiaalstroom</t>
  </si>
  <si>
    <t>BIM-volume m³</t>
  </si>
  <si>
    <t>Transport Impact</t>
  </si>
  <si>
    <t>Transportafstand (km)</t>
  </si>
  <si>
    <t>Demonteerbaarheid</t>
  </si>
  <si>
    <t xml:space="preserve">Materiaalconditie </t>
  </si>
  <si>
    <t xml:space="preserve">Marktpotentie </t>
  </si>
  <si>
    <t>PRR</t>
  </si>
  <si>
    <t>Klasse</t>
  </si>
  <si>
    <t>Totale CO2 nieuw (kg)</t>
  </si>
  <si>
    <t>Totale CO2 hergebruik</t>
  </si>
  <si>
    <t>Totale Co2 recycling</t>
  </si>
  <si>
    <t>Klimaatbespring kg Co2</t>
  </si>
  <si>
    <t>Routeadvies 2</t>
  </si>
  <si>
    <t>Verkoopbare volume m³</t>
  </si>
  <si>
    <t>Verkoopprijs per m³</t>
  </si>
  <si>
    <t>Financiële marktwaarde excl. kosten</t>
  </si>
  <si>
    <t>Financiele positief?</t>
  </si>
  <si>
    <t>Hout</t>
  </si>
  <si>
    <t>Totaal</t>
  </si>
  <si>
    <t>Klimaatbesparing</t>
  </si>
  <si>
    <t>Plafonds</t>
  </si>
  <si>
    <t>Kolommen</t>
  </si>
  <si>
    <t>Praktisch terugwinbaar volume m³</t>
  </si>
  <si>
    <t>Aluminium</t>
  </si>
  <si>
    <t>Gevelpanelen</t>
  </si>
  <si>
    <t>Klimaatbesparing kg CO₂</t>
  </si>
  <si>
    <t>Beton</t>
  </si>
  <si>
    <t>Deuren</t>
  </si>
  <si>
    <t>Vloeren</t>
  </si>
  <si>
    <t>Daken</t>
  </si>
  <si>
    <t>Wanden</t>
  </si>
  <si>
    <t>Ramen</t>
  </si>
  <si>
    <t>Trappen</t>
  </si>
  <si>
    <t>Staal</t>
  </si>
  <si>
    <t>Koper</t>
  </si>
  <si>
    <t>Materiaal gegevens</t>
  </si>
  <si>
    <t>Recovery rate</t>
  </si>
  <si>
    <t>Klimaatimpact</t>
  </si>
  <si>
    <t>Fincancieel</t>
  </si>
  <si>
    <t>Materiaal-ID</t>
  </si>
  <si>
    <t>Element</t>
  </si>
  <si>
    <t>Materiaalcategorie</t>
  </si>
  <si>
    <t>Volume (m3)</t>
  </si>
  <si>
    <t>Gem. score</t>
  </si>
  <si>
    <t>Geschatte recovery rate (%)</t>
  </si>
  <si>
    <t>Hout klasse</t>
  </si>
  <si>
    <t>Hoog-/laagwaardig</t>
  </si>
  <si>
    <t>CO2-nieuw (kg)</t>
  </si>
  <si>
    <t>CO2-Hergebruik (kg)</t>
  </si>
  <si>
    <t>CO2- recycle (kg)</t>
  </si>
  <si>
    <t>Transport afstand (km)</t>
  </si>
  <si>
    <t>Klimaatbesparing (kg co2)</t>
  </si>
  <si>
    <t>Laagste uitstoot</t>
  </si>
  <si>
    <t>Verkoopprijs aan retailer per m³</t>
  </si>
  <si>
    <t>houten vloerbalk</t>
  </si>
  <si>
    <t>Massief constructiehout</t>
  </si>
  <si>
    <t>spaanplaat</t>
  </si>
  <si>
    <t>Plaatmateriaal en bewerkt hout</t>
  </si>
  <si>
    <t>luifel</t>
  </si>
  <si>
    <t>Gevel- en buitenhout</t>
  </si>
  <si>
    <t>trapleuning</t>
  </si>
  <si>
    <t>Binnenafbouw en interieurhout</t>
  </si>
  <si>
    <t>Houten kozijn</t>
  </si>
  <si>
    <t>Bijzonder hout</t>
  </si>
  <si>
    <t>Houtklasse</t>
  </si>
  <si>
    <t>Retail hergebruikprijs per m³</t>
  </si>
  <si>
    <t>Retailer-inkoopfactor</t>
  </si>
  <si>
    <t>A-hout</t>
  </si>
  <si>
    <t>B-hout</t>
  </si>
  <si>
    <t>C-hout</t>
  </si>
  <si>
    <t>Hoe beoordelen?</t>
  </si>
  <si>
    <t>Voorbeelden</t>
  </si>
  <si>
    <t>Definitie</t>
  </si>
  <si>
    <t xml:space="preserve">Voorbeelden in gebouwen </t>
  </si>
  <si>
    <t>Bouwdelen</t>
  </si>
  <si>
    <t>Typische gebouwtypen</t>
  </si>
  <si>
    <t>Schoon, onbehandeld en kwalitatief goed hout</t>
  </si>
  <si>
    <t>Hoge kans op hergebruik of hoogwaardige recycling</t>
  </si>
  <si>
    <t>massieve houten balken, onbehandelde planken, schoon constructiehout, houten regels</t>
  </si>
  <si>
    <t>Houten elementen die dragend of constructief zijn, meestal als balk, ligger, stijl of kolom.</t>
  </si>
  <si>
    <t>houten balk, gording, spant, kolom, houten ligger, dakbeschot, houten vloerbalk, kapconstructie, houten trap</t>
  </si>
  <si>
    <t>Draagconstructie, dak, vloer, trap</t>
  </si>
  <si>
    <t>grondgebonden woningen, utiliteitsbouw, renovatieprojecten</t>
  </si>
  <si>
    <t>Behandeld, geverfd, gelakt of licht beschadigd hout</t>
  </si>
  <si>
    <t>Soms hergebruik mogelijk, meestal recycling/downcycling</t>
  </si>
  <si>
    <t>houten kozijnen, geverfde planken, houten deuren, plaatmateriaal, multiplex, underlayment</t>
  </si>
  <si>
    <t>Verlijmde of samengestelde houtproducten als plaat of samengesteld element.</t>
  </si>
  <si>
    <t>multiplex, OSB, spaanplaat, MDF, underlayment, CLT, LVL, gelamineerde ligger, houten systeemwand</t>
  </si>
  <si>
    <t>Binnenafbouw, vloeren, wanden, daken</t>
  </si>
  <si>
    <t>woningbouw, utiliteitsbouw, houtskeletbouw</t>
  </si>
  <si>
    <t>Sterk behandeld, geïmpregneerd, vervuild of moeilijk herbruikbaar hout</t>
  </si>
  <si>
    <t>Meestal laagwaardige verwerking of afvalroute; voorzichtig beoordelen door mogelijke schadelijke stoffen</t>
  </si>
  <si>
    <t>geïmpregneerd hout, verrot hout, vervuild sloophout, hout met lijm- of kitresten</t>
  </si>
  <si>
    <t>Hout dat aan buitenzijde of in de gebouwschil is toegepast.</t>
  </si>
  <si>
    <t>gevelbekleding, boeiboord, dakrand, dakkapelbekleding, luifel, houten vlonder</t>
  </si>
  <si>
    <t>Gevel, dakrand, kozijnen, buitenafwerking</t>
  </si>
  <si>
    <t>grondgebonden woningen, utiliteitsbouw, recreatiegebouwen</t>
  </si>
  <si>
    <t>Houten constructies of bouwelementen die niet goed als standaard houtvolume beoordeeld kunnen worden</t>
  </si>
  <si>
    <t>Apart beoordelen op functie, maatvoering, conditie, demontage en hergebruikspotentie</t>
  </si>
  <si>
    <t>houten trappen, dakkapellen, houten dakconstructies, complete houten vloeren, houten gevelsystemen</t>
  </si>
  <si>
    <t>Niet-dragend hout in de afbouw en inrichting.</t>
  </si>
  <si>
    <t>plint, regelwerk, houten wandbekleding, trapleuning, balustrade, vaste kast</t>
  </si>
  <si>
    <t>Binnenafbouw, interieur, scheidingswanden</t>
  </si>
  <si>
    <t>alle gebouwtypen; veel in woningbouw en utiliteit</t>
  </si>
  <si>
    <t>Herkomst</t>
  </si>
  <si>
    <t>Volume (m³)</t>
  </si>
  <si>
    <t xml:space="preserve">Demonteerbaarheid </t>
  </si>
  <si>
    <t>Totale CO2 nieuw</t>
  </si>
  <si>
    <t>B-staal</t>
  </si>
  <si>
    <t>spant</t>
  </si>
  <si>
    <t>Constructiestaal</t>
  </si>
  <si>
    <t>A-staal</t>
  </si>
  <si>
    <t>wapeningstaaf</t>
  </si>
  <si>
    <t>Wapeningsstaal en ingebed staal</t>
  </si>
  <si>
    <t>gevelbeplating</t>
  </si>
  <si>
    <t>Plaatstaal en profielstaal</t>
  </si>
  <si>
    <t>hekwerk</t>
  </si>
  <si>
    <t>Installatie-, bevestigings- en veiligheidsstaal</t>
  </si>
  <si>
    <t>Bijzonder staal</t>
  </si>
  <si>
    <t>C-staal</t>
  </si>
  <si>
    <t>Staalklasse</t>
  </si>
  <si>
    <t>Retail hergebruik-/recyclingprijs per m³</t>
  </si>
  <si>
    <t>Schoon staal met hoge kwaliteit</t>
  </si>
  <si>
    <t>Hoge kans op hoogwaardig hergebruik of recycling</t>
  </si>
  <si>
    <t>nette stalen dakplaten, profielplaten, stalen bekleding, schone staalplaten</t>
  </si>
  <si>
    <t>Dragende stalen elementen die onderdeel zijn van het hoofddraagwerk.</t>
  </si>
  <si>
    <t>stalen kolom, spant, vakwerk,</t>
  </si>
  <si>
    <t>Draagconstructie, dak, verdieping, halconstructie</t>
  </si>
  <si>
    <t>industriehallen, utiliteitsbouw, parkeergarages, grote overspanningen</t>
  </si>
  <si>
    <t>Evt lichte schade, coating, vervuiling of minder hergebruikwaarde</t>
  </si>
  <si>
    <t>Meestal recycling, soms hergebruik mogelijk</t>
  </si>
  <si>
    <t>metal stud, stalen stijl- en regelwerk, lichte profielen, bevestigingsprofielen</t>
  </si>
  <si>
    <t>Staal dat in beton of andere bouwdelen is opgenomen.</t>
  </si>
  <si>
    <t>wapeningsnet, betonstaal, wapeningstaaf, ankerrail,</t>
  </si>
  <si>
    <t>Betonvloeren, wanden, funderingen, balken</t>
  </si>
  <si>
    <t>alle gebouwen met betonconstructies</t>
  </si>
  <si>
    <t>Gemengd, beschadigd, vervuild of moeilijk herbruikbaar staal</t>
  </si>
  <si>
    <t>Vooral geschikt voor recycling als schroot</t>
  </si>
  <si>
    <t>gemengde staalfractie, verroest staal, reststukken, staal met onbekende herkomst</t>
  </si>
  <si>
    <t>Stalen platen en lichte profielen in gevel, dak en binnenafbouw.</t>
  </si>
  <si>
    <t>stalen dakplaat, gevelbeplating, sandwichpaneel staal, metal-stud profiel, stalen kozijn, stalen deur</t>
  </si>
  <si>
    <t>Gevel, dak, binnenwanden, kozijnen</t>
  </si>
  <si>
    <t>industriegebouwen, utiliteitsbouw, renovatie, systeemwanden</t>
  </si>
  <si>
    <t>Stalen constructies of bouwelementen die niet goed als standaard staalvolume beoordeeld kunnen worden</t>
  </si>
  <si>
    <t>stalen kolommen, balken, liggers, buisstaalconstructies, stalen kozijnen, trappen, hekwerken, leuningen</t>
  </si>
  <si>
    <t>Stalen onderdelen in installaties, verbindingen en gebouwveiligheid.</t>
  </si>
  <si>
    <t>kabelgoot, luchtkanaal, stalen leiding, hekwerk, leuning, trap, bouten, moeren, consoles, beugels</t>
  </si>
  <si>
    <t>Installaties, trappen, balustrades, bevestigingen</t>
  </si>
  <si>
    <t>utiliteitsbouw, industrie, appartementen, parkeergarages</t>
  </si>
  <si>
    <t>materiaal gegevens</t>
  </si>
  <si>
    <t>kanaalplaatvloer</t>
  </si>
  <si>
    <t>Prefab / losse betonelementen</t>
  </si>
  <si>
    <t>A-beton</t>
  </si>
  <si>
    <t xml:space="preserve"> funderingsbalk</t>
  </si>
  <si>
    <t>Gewapend / voorgespannen constructief beton</t>
  </si>
  <si>
    <t>B-beton</t>
  </si>
  <si>
    <t>druklaag</t>
  </si>
  <si>
    <t>Ongewapend / massief beton</t>
  </si>
  <si>
    <t>C-beton</t>
  </si>
  <si>
    <t>cellenbeton</t>
  </si>
  <si>
    <t>Cementgebonden afwerkbeton en betonproducten</t>
  </si>
  <si>
    <t>Bijzonder beton</t>
  </si>
  <si>
    <t>Betoncategorie</t>
  </si>
  <si>
    <t>Richtprijs granulaat / acceptatiebasis per m³</t>
  </si>
  <si>
    <t>Verwerker-/inkoopfactor</t>
  </si>
  <si>
    <t>Netto verkoopprijs / afgifteprijs per m³</t>
  </si>
  <si>
    <t>Schoon beton of goed demontabel betonelement met duidelijke kwaliteit</t>
  </si>
  <si>
    <t>Kans op hergebruik als element of hoogwaardige recycling als betongranulaat</t>
  </si>
  <si>
    <t>prefab betonplaten, betonnen liggers, betonnen traptreden, schone betonelementen</t>
  </si>
  <si>
    <t>Betonelementen die als afzonderlijk product zijn geproduceerd en gemonteerd.</t>
  </si>
  <si>
    <t>kanaalplaatvloer, prefab wand, prefab kolom, prefab balk, galerijplaat, balkonplaat, betonnen trap, prefab gevelelement</t>
  </si>
  <si>
    <t>Vloeren, wanden, gevel, balkons, trappen</t>
  </si>
  <si>
    <t>utiliteitsbouw, appartementen, industrie, parkeergarages</t>
  </si>
  <si>
    <t>Beton met lichte wapening, vervuiling of beperkte schade</t>
  </si>
  <si>
    <t>Meestal recycling als granulaat; hergebruik alleen bij demontabele elementen</t>
  </si>
  <si>
    <t>gewapende betonvloer, betonnen wand, betonnen balk, betonnen kolom</t>
  </si>
  <si>
    <t>Dragend beton met wapening of voorspanning, vaak onderdeel van hoofddraagwerk.</t>
  </si>
  <si>
    <t>betonbalk, betonkolom, dragende betonwand, breedplaatvloer, gewapende vloer, funderingsbalk, kelderwand, betonpoer</t>
  </si>
  <si>
    <t>Draagconstructie, fundering, vloeren, kelders</t>
  </si>
  <si>
    <t>alle gebouwtypen; veel in utiliteit, appartementen en industrie</t>
  </si>
  <si>
    <t>Gemengd, gebroken, vervuild of moeilijk scheidbaar beton</t>
  </si>
  <si>
    <t>Vooral geschikt voor laagwaardige recycling/downcycling</t>
  </si>
  <si>
    <t>betonpuin, gemengd steenachtig puin, vervuild beton, beton met lijm-, tegel- of afwerkresten</t>
  </si>
  <si>
    <t>Beton zonder duidelijke wapening of zonder constructieve elementfunctie.</t>
  </si>
  <si>
    <t>werkvloer, opstortlaag, druklaag, massieve funderingslaag, eenvoudige betonvloer, niet-dragende betonlaag</t>
  </si>
  <si>
    <t>Vloeren, fundering, onderlagen</t>
  </si>
  <si>
    <t>woningbouw, utiliteit, industrie</t>
  </si>
  <si>
    <t>Betonnen constructies of elementen die niet goed als standaard betonvolume beoordeeld kunnen worden</t>
  </si>
  <si>
    <t>Apart beoordelen op functie, wapening, maatvoering, demontage, schade en transporteerbaarheid</t>
  </si>
  <si>
    <t>funderingen, heipalen, prefab gevelelementen, kanaalplaatvloeren, breedplaatvloeren, betontrappen</t>
  </si>
  <si>
    <t>Afwerklagen, lichte betonproducten en niet-constructieve betonproducten.</t>
  </si>
  <si>
    <t>cementdekvloer, zandcementvloer, egalisatielaag, afschotlaag, cellenbeton, gasbeton, betonblokken, betonnen dakpan, betontegel</t>
  </si>
  <si>
    <t>Afbouw, vloerafwerking, binnenwanden, dak, terrein</t>
  </si>
  <si>
    <t>alle gebouwtypen; cellenbeton veel in binnenwanden</t>
  </si>
  <si>
    <t>recycle benaming</t>
  </si>
  <si>
    <t>Geel koper / messing</t>
  </si>
  <si>
    <t>Koperen dakgoot</t>
  </si>
  <si>
    <t>Rood koper</t>
  </si>
  <si>
    <t>Dak-, gevel- en afwerkingskoper</t>
  </si>
  <si>
    <t>B-koper</t>
  </si>
  <si>
    <t>Knip koper</t>
  </si>
  <si>
    <t>Koperen waterleiding</t>
  </si>
  <si>
    <t>Leidingen water en gas en verwarming</t>
  </si>
  <si>
    <t>Elektrakabel koper</t>
  </si>
  <si>
    <t>Kabels inclusief isolatie</t>
  </si>
  <si>
    <t>Elektrische koperstromen</t>
  </si>
  <si>
    <t>Koperklasse</t>
  </si>
  <si>
    <t>Retail recyclingprijs per m³</t>
  </si>
  <si>
    <t>Metaalhandel-inkoopfactor</t>
  </si>
  <si>
    <t>Verkoopprijs aan retailer/metaalhandelaar per m³</t>
  </si>
  <si>
    <t>A-koper</t>
  </si>
  <si>
    <t>Wat betekent dit ongeveer in kg koperwaarde?</t>
  </si>
  <si>
    <t>Koper in kabels en elektrische installaties.</t>
  </si>
  <si>
    <t>elektrakabel, voedingskabel, installatiedraad, aardedraad, datakabel met koper, schakelkastbekabeling</t>
  </si>
  <si>
    <t>Installaties, elektra, meterkasten, kabelgoten</t>
  </si>
  <si>
    <t>alle gebouwen; veel in utiliteit en industrie door installatiedichtheid</t>
  </si>
  <si>
    <t>€2.250/m³</t>
  </si>
  <si>
    <t>ongeveer 260 kg/m³ bij €8,65/kg</t>
  </si>
  <si>
    <t>Leidingen voor water, gas en verwarming</t>
  </si>
  <si>
    <t>Koperen leidingen in sanitaire en werktuigbouwkundige installaties.</t>
  </si>
  <si>
    <t>koperen waterleiding, CV-leiding, gasleiding koper, warmwaterleiding, appendageleiding</t>
  </si>
  <si>
    <t>Sanitair, werktuigbouwkundige installaties, schachten</t>
  </si>
  <si>
    <t>woningbouw, appartementen, zorg, utiliteit</t>
  </si>
  <si>
    <t>€2.024/m³</t>
  </si>
  <si>
    <t>ongeveer 225 kg/m³ bij ±€9/kg</t>
  </si>
  <si>
    <t>Installatiecomponenten en apparaten</t>
  </si>
  <si>
    <t>Koper in technische componenten of installaties.</t>
  </si>
  <si>
    <t>warmtewisselaar, verdeler, pompcomponent, elektromotor, transformator, verdeelkast, koelinstallatie</t>
  </si>
  <si>
    <t>Technische ruimte, klimaatinstallaties, elektra</t>
  </si>
  <si>
    <t>utiliteitsbouw, industrie, kantoren, ziekenhuizen</t>
  </si>
  <si>
    <t>Geel koper</t>
  </si>
  <si>
    <t>€1.275/m³</t>
  </si>
  <si>
    <t>ongeveer 245 kg/m³ bij €5,20/kg</t>
  </si>
  <si>
    <t>Koper toegepast aan gebouwschil of als afwerking.</t>
  </si>
  <si>
    <t>koperen dakgoot, hemelwaterafvoer, dakbedekking koper, gevelbekleding, afdekkap, koperen zetwerk</t>
  </si>
  <si>
    <t>Dak, gevel, goot, afwerking</t>
  </si>
  <si>
    <t>monumentale gebouwen, utiliteitsbouw, bijzondere woningbouw</t>
  </si>
  <si>
    <t>Kabels</t>
  </si>
  <si>
    <t>€700/m³</t>
  </si>
  <si>
    <t>ongeveer 226 kg/m³ bij €3,10/kg</t>
  </si>
  <si>
    <t>Kozijnen, puien en vliesgevels</t>
  </si>
  <si>
    <t>A-aluminium</t>
  </si>
  <si>
    <t>Gevel-, dak- en plaatmateriaal</t>
  </si>
  <si>
    <t>B-aluminium</t>
  </si>
  <si>
    <t>Afbouw- en systeemplafondprofielen</t>
  </si>
  <si>
    <t>Installatie- en functionele aluminiumdelen</t>
  </si>
  <si>
    <t>Bijzondere aluminium</t>
  </si>
  <si>
    <t>Aluminiumklasse</t>
  </si>
  <si>
    <t>Schoon, goed gescheiden aluminium met hoge materiaalwaarde</t>
  </si>
  <si>
    <t>Hoge kans op hoogwaardige recycling of hergebruik als element</t>
  </si>
  <si>
    <t>aluminium kozijnen, aluminium gevelbekleding, aluminium profielen, aluminium daktrimmen</t>
  </si>
  <si>
    <t>Aluminium gevelelementen en raam-/deursystemen.</t>
  </si>
  <si>
    <t>aluminium kozijn, raamprofiel, deurprofiel, schuifpui, vliesgevel, curtain wall, gevelstijl</t>
  </si>
  <si>
    <t>Gevel, kozijnen, entrees</t>
  </si>
  <si>
    <t>utiliteitsbouw, kantoren, appartementen, scholen</t>
  </si>
  <si>
    <t>Aluminium met lichte schade, coating, vervuiling of bevestigingsresten</t>
  </si>
  <si>
    <t>gecoate aluminium profielen, beschadigde kozijnen, ventilatieroosters, aluminium systeemwandprofielen</t>
  </si>
  <si>
    <t>Aluminium platen, panelen en zetwerk aan de gebouwschil.</t>
  </si>
  <si>
    <t>aluminium gevelplaat, aluminium composietpaneel, dakrand, boeideel, zetwerk, cassettepaneel, daktrim</t>
  </si>
  <si>
    <t>Gevel, dakrand, dakdetails</t>
  </si>
  <si>
    <t>utiliteitsbouw, industrie, appartementen</t>
  </si>
  <si>
    <t>C-aluminium</t>
  </si>
  <si>
    <t>Gemengd, vervuild of samengesteld aluminium dat moeilijk te scheiden is</t>
  </si>
  <si>
    <t>Vooral geschikt voor recycling na scheiding; lagere waarde door vervuiling</t>
  </si>
  <si>
    <t>gemengde aluminiumfractie, aluminium met kunststof, samengestelde gevelpanelen, vervuilde profielen</t>
  </si>
  <si>
    <t>systeemplafondprofiel, wandprofiel aluminium, rail, plintprofiel, hoekprofiel, roosterframe</t>
  </si>
  <si>
    <t>Binnenafbouw, plafonds, wanden</t>
  </si>
  <si>
    <t>kantoren, scholen, ziekenhuizen, winkels</t>
  </si>
  <si>
    <t>Bijzonder aluminium</t>
  </si>
  <si>
    <t>Aluminium systemen of bouwelementen die niet goed als standaard aluminiumvolume beoordeeld kunnen worden</t>
  </si>
  <si>
    <t>Apart beoordelen op functie, maatvoering, demontage, conditie en hergebruikspotentie</t>
  </si>
  <si>
    <t>vliesgevels, complete kozijnsystemen, zonwering, aluminium deuren, gevelsystemen, dakrandsystemen</t>
  </si>
  <si>
    <t>luchtrooster, ventilatierooster, lamellen, zonwering, kabelgoot aluminium, radiatorprofiel, technische omkasting</t>
  </si>
  <si>
    <t>Installaties, gevel, klimaatsystemen</t>
  </si>
  <si>
    <t>Volume (m2)</t>
  </si>
  <si>
    <t>Dakbedekking en dakbanen</t>
  </si>
  <si>
    <t>Afdichting en waterkering</t>
  </si>
  <si>
    <t>Dampremmende en akoestische lagen</t>
  </si>
  <si>
    <t>Bitumineuze details en gebouwproducten</t>
  </si>
  <si>
    <t>A-bitumen</t>
  </si>
  <si>
    <t>Schoon en gescheiden bitumen met zo weinig mogelijk vervuiling</t>
  </si>
  <si>
    <t>Hoge kans op materiaalrecycling, vooral als het los van isolatie, grind en andere daklagen vrijkomt</t>
  </si>
  <si>
    <t>schone bitumen dakbanen, losgekomen dakbedekking, bitumen zonder grind, bitumen zonder isolatieresten</t>
  </si>
  <si>
    <t>Bitumineuze rollen, banen en membranen als dakafdichting.</t>
  </si>
  <si>
    <t>bitumineuze dakbaan, SBS-dakbaan, APP-dakbaan, dakleer, bitumen dakrol, dakmembraan</t>
  </si>
  <si>
    <t>Dak, platte daken, renovatiedaken</t>
  </si>
  <si>
    <t>utiliteitsbouw, appartementen, industrie, grondgebonden woningen met plat dak</t>
  </si>
  <si>
    <t>B-bitumen</t>
  </si>
  <si>
    <t>Bitumen met lichte vervuiling, veroudering of resten van andere daklagen</t>
  </si>
  <si>
    <t>Meestal recycling of laagwaardige verwerking mogelijk, afhankelijk van vervuiling en losmaakbaarheid</t>
  </si>
  <si>
    <t>bitumen met lichte grindresten, oude dakbanen, licht beschadigde dakbedekking, bitumen met kleine isolatieresten</t>
  </si>
  <si>
    <t>Bitumen als vochtkering, kimafdichting of waterdichte laag.</t>
  </si>
  <si>
    <t>kimband, waterkering, bitumineuze afdichting, kelderafdichting, funderingsafdichting, DPC-laag</t>
  </si>
  <si>
    <t>Gevelvoet, kelder, fundering, natte ruimten</t>
  </si>
  <si>
    <t>woningbouw, utiliteitsbouw, industrie</t>
  </si>
  <si>
    <t>C-bitumen</t>
  </si>
  <si>
    <t>Gemengd, sterk vervuild, verkleefd of moeilijk te scheiden bitumen</t>
  </si>
  <si>
    <t>Vooral laagwaardige verwerking of afvalroute; apart controleren op teerhoudende of schadelijke stoffen</t>
  </si>
  <si>
    <t>vervuilde bitumen dakbedekking, bitumen met veel isolatie, bitumen met grind, gemengde dakafvalfractie, teerhoudende dakbedekking</t>
  </si>
  <si>
    <t>Bitumineuze lagen met functie voor dampremming, geluid of onderlaag.</t>
  </si>
  <si>
    <t>dampremmende bitumenlaag, onderlaag, contactgeluidslaag bitumen, vloeronderlaag, akoestische mat</t>
  </si>
  <si>
    <t>Dakopbouw, vloeren, binnenafbouw</t>
  </si>
  <si>
    <t>woningbouw, appartementen, utiliteitsbouw</t>
  </si>
  <si>
    <t>Bijzonder bitumen</t>
  </si>
  <si>
    <t>Dakconstructies of dakopbouwen die niet goed als standaard bitumenvolume beoordeeld kunnen worden</t>
  </si>
  <si>
    <t>Apart beoordelen op dakopbouw, demontage, vervuiling, aanwezigheid van grind/isolatie en mogelijke schadelijke stoffen</t>
  </si>
  <si>
    <t>complete dakopbouw met bitumen, bitumen op isolatie, groendak met bitumenlaag, dakranden, opstanden, kimmen, aansluitdetails</t>
  </si>
  <si>
    <t>Kleinere bitumineuze producten of detailtoepassingen.</t>
  </si>
  <si>
    <t>dakdetail afdichting, inplakstuk, bitumen shingle, bitumineuze slabbe, afdichtingsstrook, bitumencoating</t>
  </si>
  <si>
    <t>Dakdetails, geveldetails, aansluitingen</t>
  </si>
  <si>
    <t>alle gebouwtypen, vooral daken en geveldetails</t>
  </si>
  <si>
    <t xml:space="preserve">Bitumen </t>
  </si>
  <si>
    <t>Categorie voor metaalhandelaar</t>
  </si>
  <si>
    <t>Schoon, zuiver en goed gescheiden koper</t>
  </si>
  <si>
    <t>Hoge kans op hoogwaardige recycling of direct hergebruik bij intacte onderdelen</t>
  </si>
  <si>
    <t>schone koperen leidingen, koperen buizen, blank koper, koperen dakgoten</t>
  </si>
  <si>
    <t>Koper met lichte vervuiling, coating, soldeerresten of isolatie</t>
  </si>
  <si>
    <t>Meestal recycling, soms hergebruik mogelijk als het element intact is</t>
  </si>
  <si>
    <t>geïsoleerde koperdraad, licht vervuilde leidingen, koperen fittingen, kabelresten</t>
  </si>
  <si>
    <t>C-koper</t>
  </si>
  <si>
    <t>Gemengd, sterk vervuild of moeilijk te scheiden koper</t>
  </si>
  <si>
    <t>gemengde kabelfractie, koper met kunststofresten, koper uit installaties, vervuilde leidingdelen</t>
  </si>
  <si>
    <t>Bijzonder koper</t>
  </si>
  <si>
    <t>Koperen onderdelen of installaties die niet goed als standaard kopervolume beoordeeld kunnen worden</t>
  </si>
  <si>
    <t>Apart beoordelen op functie, bereikbaarheid, demontage, conditie en marktwaarde</t>
  </si>
  <si>
    <t>complete leidingnetten, elektrische installaties, verdeelkasten met koper, koperen dakdetails, bliksemafleiding</t>
  </si>
  <si>
    <t>Grenswaarde</t>
  </si>
  <si>
    <t>raam-/deursystemen</t>
  </si>
  <si>
    <t>zetwerk aan de gebouwschil</t>
  </si>
  <si>
    <t xml:space="preserve">Lichte aluminium profielen </t>
  </si>
  <si>
    <t>Lichte aluminium profielen</t>
  </si>
  <si>
    <t>Aluminium in technische of functionele bouwonderdelen. Aluminium slipplaat trap</t>
  </si>
  <si>
    <t>Aluminium slipplaat trap</t>
  </si>
  <si>
    <t>Bijzonder Staal</t>
  </si>
  <si>
    <t xml:space="preserve">Transport-impact </t>
  </si>
  <si>
    <t>Verkoopbaar volume (m3)</t>
  </si>
  <si>
    <t>waar projectspecifieke hoeveelheden ontbreken, is gewerkt met 1 m3, 1 kg of 1 stuk als referentie.</t>
  </si>
  <si>
    <t>Eindbeoordeling dashboard</t>
  </si>
  <si>
    <t>Onderbouwing</t>
  </si>
  <si>
    <t>≥ 80%</t>
  </si>
  <si>
    <t>Alleen schoon, goed demontabel en verkoopbaar hout is echt kansrijk voor direct hergebruik.</t>
  </si>
  <si>
    <t>55% – 79%</t>
  </si>
  <si>
    <t>Hergebruik &gt; recycling</t>
  </si>
  <si>
    <t>Hout kan nog herbruikbaar zijn, maar conditie, maatvoering, verf, lijm of schade maken dit onzeker.</t>
  </si>
  <si>
    <t>30% – 54%</t>
  </si>
  <si>
    <t>Recycling</t>
  </si>
  <si>
    <t>Vooral geschikt voor recycling/downcycling.</t>
  </si>
  <si>
    <t>&lt; 30%</t>
  </si>
  <si>
    <t>Te lage score of te veel onzekerheid.</t>
  </si>
  <si>
    <t>Hout PRR</t>
  </si>
  <si>
    <t>≥ 75%</t>
  </si>
  <si>
    <t>Schoon en goed demontabel staal kan als profiel of constructief element interessant zijn.</t>
  </si>
  <si>
    <t>40% – 74%</t>
  </si>
  <si>
    <t>Direct hergebruik is onzeker, maar recycling blijft meestal interessant.</t>
  </si>
  <si>
    <t>15% – 39%</t>
  </si>
  <si>
    <t>Ook lager scorend staal heeft vaak nog schrootwaarde.</t>
  </si>
  <si>
    <t>&lt; 15%</t>
  </si>
  <si>
    <t>Alleen bij zeer lage score of onduidelijke/vervuilde stroom.</t>
  </si>
  <si>
    <t>Staal PRR</t>
  </si>
  <si>
    <t>≥ 70%</t>
  </si>
  <si>
    <t>Hergebruik kan, maar hoogwaardige recycling is vaak praktischer.</t>
  </si>
  <si>
    <t>25% – 69%</t>
  </si>
  <si>
    <t>Koper blijft waardevol als recyclebare stroom, ook bij lagere PRR.</t>
  </si>
  <si>
    <t>&lt; 25%</t>
  </si>
  <si>
    <t>Alleen bij onbekende of sterk samengestelde koperstromen.</t>
  </si>
  <si>
    <t>Koper PRR</t>
  </si>
  <si>
    <t>Aluminium PRR</t>
  </si>
  <si>
    <t>Redenering</t>
  </si>
  <si>
    <t>≥ 90%</t>
  </si>
  <si>
    <t>Alleen bij zeer hoge terugwinbaarheid is direct hergebruik als betonelement realistisch. Denk aan prefab, goede conditie, goed demontabel en voldoende marktpotentie.</t>
  </si>
  <si>
    <t>70% – 89%</t>
  </si>
  <si>
    <t>Er is potentie voor hergebruik, maar recycling blijft een realistische terugvaloptie door schade, wapening, maatvoering of transport.</t>
  </si>
  <si>
    <t>35% – 69%</t>
  </si>
  <si>
    <t>Dit past bij regulier betonpuin dat meestal wordt gebroken en verwerkt tot granulaat.</t>
  </si>
  <si>
    <t>&lt; 35%</t>
  </si>
  <si>
    <t>Te veel onzekerheid door lage losmaakbaarheid, vervuiling, schade of gemengde betonstromen.</t>
  </si>
  <si>
    <t>Tabblad in Excel</t>
  </si>
  <si>
    <t>Functie binnen het rekenmodel</t>
  </si>
  <si>
    <t>Methodiek</t>
  </si>
  <si>
    <t>Hout, Staal, Beton, Koper, Aluminium, Bitumen</t>
  </si>
  <si>
    <t>Hout 2.0, Staal 2.0, Beton 2.0, Koper 2.0, Aluminium 2.0, Bitumen 2.0</t>
  </si>
  <si>
    <t>Geeft een totaaloverzicht van de A-, B-, C- en bijzonder-indeling per materiaalsoort.</t>
  </si>
  <si>
    <t>Dashboard</t>
  </si>
  <si>
    <t>In dit blad wordt er een overzicht gegeven van de uitkomsten uit het rekenmodel die gekoppeld zijn met Bim-data.</t>
  </si>
  <si>
    <t>Bevatten de indeling van materialen in categorieën en onderbouwingen.</t>
  </si>
  <si>
    <t>Hout-data, Staal-data, Beton-data, Koper-data, Aluminium-data, Bitumen-data</t>
  </si>
  <si>
    <t>in dit blad komt de data afkomstig uit een BIM-model, en wordt hier in een tabel genoteerd.</t>
  </si>
  <si>
    <t>Bevat een toelichitng over het gebruik van het rekenmodel.</t>
  </si>
  <si>
    <t>Tot. nieuw CO2 (kg)</t>
  </si>
  <si>
    <t>Klimaat positief?</t>
  </si>
  <si>
    <t xml:space="preserve"> Bouwdeel uit BIM</t>
  </si>
  <si>
    <t xml:space="preserve">Bevatten de materiaalspecifieke berekeningen voor recovery rate, CO₂-uitstoot en financiële waarde. Opgesteld opbasis van voorbeeld emlementen en volumes. </t>
  </si>
  <si>
    <t>Tot. hergebruik CO2 (kg)</t>
  </si>
  <si>
    <t>Tot. recycling Co2 (kg)</t>
  </si>
  <si>
    <r>
      <t xml:space="preserve">Als de PRR </t>
    </r>
    <r>
      <rPr>
        <b/>
        <sz val="11"/>
        <color theme="1"/>
        <rFont val="Calibri"/>
        <family val="2"/>
        <scheme val="minor"/>
      </rPr>
      <t>lager dan 70%</t>
    </r>
    <r>
      <rPr>
        <sz val="11"/>
        <color theme="1"/>
        <rFont val="Calibri"/>
        <family val="2"/>
        <scheme val="minor"/>
      </rPr>
      <t xml:space="preserve"> is.</t>
    </r>
  </si>
  <si>
    <r>
      <t>Als de PRR 7</t>
    </r>
    <r>
      <rPr>
        <b/>
        <sz val="11"/>
        <color theme="1"/>
        <rFont val="Calibri"/>
        <family val="2"/>
        <scheme val="minor"/>
      </rPr>
      <t>0% of hoger</t>
    </r>
    <r>
      <rPr>
        <sz val="11"/>
        <color theme="1"/>
        <rFont val="Calibri"/>
        <family val="2"/>
        <scheme val="minor"/>
      </rPr>
      <t xml:space="preserve"> is.</t>
    </r>
  </si>
  <si>
    <t>B- Aluminium</t>
  </si>
  <si>
    <t>A-Aluminium</t>
  </si>
  <si>
    <t xml:space="preserve">C-Aluminium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</si>
</sst>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 #,##0;[Red]&quot;€&quot;\ \-#,##0"/>
    <numFmt numFmtId="165" formatCode="&quot;€&quot;\ #,##0.00;[Red]&quot;€&quot;\ \-#,##0.00"/>
    <numFmt numFmtId="166" formatCode="_ &quot;€&quot;\ * #,##0.00_ ;_ &quot;€&quot;\ * \-#,##0.00_ ;_ &quot;€&quot;\ * &quot;-&quot;??_ ;_ @_ "/>
    <numFmt numFmtId="167" formatCode="_ * #,##0.00_ ;_ * \-#,##0.00_ ;_ * &quot;-&quot;??_ ;_ @_ "/>
    <numFmt numFmtId="168" formatCode="0.0"/>
    <numFmt numFmtId="169" formatCode="_ [$€-413]\ * #,##0.00_ ;_ [$€-413]\ * \-#,##0.00_ ;_ [$€-413]\ * &quot;-&quot;??_ ;_ @_ "/>
    <numFmt numFmtId="170" formatCode="\€\ #,##0.00;[Red]\-\€\ #,##0.00"/>
    <numFmt numFmtId="171" formatCode="&quot;€&quot;\ #,##0.00"/>
  </numFmts>
  <fonts count="42">
    <font>
      <sz val="11"/>
      <color theme="1"/>
      <name val="Calibri"/>
      <family val="2"/>
      <scheme val="minor"/>
    </font>
    <font>
      <b/>
      <sz val="11"/>
      <color rgb="FFFFFFFF"/>
      <name val="Carlito"/>
    </font>
    <font>
      <sz val="11"/>
      <name val="Carlito"/>
    </font>
    <font>
      <b/>
      <sz val="11"/>
      <name val="Calibri"/>
      <family val="2"/>
    </font>
    <font>
      <b/>
      <sz val="11"/>
      <color rgb="FFFFFFFF"/>
      <name val="Calibri"/>
      <family val="2"/>
    </font>
    <font>
      <b/>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rgb="FFFFFFFF"/>
      <name val="Calibri"/>
      <family val="2"/>
      <scheme val="minor"/>
    </font>
    <font>
      <sz val="11"/>
      <name val="Calibri"/>
      <family val="2"/>
      <scheme val="minor"/>
    </font>
    <font>
      <b/>
      <sz val="11"/>
      <name val="Calibri"/>
      <family val="2"/>
      <scheme val="minor"/>
    </font>
    <font>
      <sz val="11"/>
      <color rgb="FFFFFFFF"/>
      <name val="Calibri"/>
      <family val="2"/>
      <scheme val="minor"/>
    </font>
    <font>
      <sz val="11"/>
      <color rgb="FF000000"/>
      <name val="Calibri"/>
      <family val="2"/>
      <scheme val="minor"/>
    </font>
    <font>
      <b/>
      <sz val="11"/>
      <color rgb="FF000000"/>
      <name val="Calibri"/>
      <family val="2"/>
      <scheme val="minor"/>
    </font>
    <font>
      <sz val="11"/>
      <color theme="1"/>
      <name val="Calibri"/>
      <family val="2"/>
      <scheme val="minor"/>
    </font>
    <font>
      <sz val="12"/>
      <color theme="1"/>
      <name val="Calibri"/>
      <family val="2"/>
    </font>
    <font>
      <sz val="12"/>
      <color theme="1"/>
      <name val="Times New Roman"/>
      <family val="1"/>
    </font>
    <font>
      <i/>
      <sz val="12"/>
      <color theme="1"/>
      <name val="Times New Roman"/>
      <family val="1"/>
    </font>
    <font>
      <b/>
      <sz val="11"/>
      <color theme="0"/>
      <name val="Calibri"/>
      <family val="2"/>
      <scheme val="minor"/>
    </font>
    <font>
      <sz val="11"/>
      <color theme="0"/>
      <name val="Calibri"/>
      <family val="2"/>
      <scheme val="minor"/>
    </font>
    <font>
      <sz val="10"/>
      <color theme="1"/>
      <name val="Arial Unicode MS"/>
      <family val="2"/>
    </font>
    <font>
      <b/>
      <i/>
      <sz val="11"/>
      <color theme="1"/>
      <name val="Calibri"/>
      <family val="2"/>
      <scheme val="minor"/>
    </font>
    <font>
      <b/>
      <sz val="11"/>
      <color theme="6"/>
      <name val="Calibri"/>
      <family val="2"/>
      <scheme val="minor"/>
    </font>
    <font>
      <u/>
      <sz val="11"/>
      <color rgb="FFFFFFFF"/>
      <name val="Calibri"/>
      <family val="2"/>
      <scheme val="minor"/>
    </font>
    <font>
      <b/>
      <u/>
      <sz val="11"/>
      <color rgb="FFFFFFFF"/>
      <name val="Calibri"/>
      <family val="2"/>
      <scheme val="minor"/>
    </font>
    <font>
      <b/>
      <u/>
      <sz val="11"/>
      <color theme="1"/>
      <name val="Calibri"/>
      <family val="2"/>
      <scheme val="minor"/>
    </font>
    <font>
      <sz val="11"/>
      <color theme="1"/>
      <name val="Calibri"/>
      <family val="2"/>
    </font>
    <font>
      <sz val="11"/>
      <color theme="10"/>
      <name val="Calibri"/>
      <family val="2"/>
    </font>
    <font>
      <b/>
      <sz val="14"/>
      <color rgb="FFFFFFFF"/>
      <name val="Calibri"/>
      <family val="2"/>
    </font>
    <font>
      <sz val="10.5"/>
      <color theme="1"/>
      <name val="Aptos"/>
      <family val="2"/>
    </font>
    <font>
      <b/>
      <sz val="10.5"/>
      <color theme="1"/>
      <name val="Aptos"/>
      <family val="2"/>
    </font>
    <font>
      <b/>
      <sz val="13"/>
      <color theme="1"/>
      <name val="Calibri"/>
      <family val="2"/>
      <scheme val="minor"/>
    </font>
    <font>
      <sz val="11"/>
      <color rgb="FFFF0000"/>
      <name val="Calibri"/>
      <family val="2"/>
      <scheme val="minor"/>
    </font>
    <font>
      <b/>
      <u/>
      <sz val="11"/>
      <color rgb="FFFFFFFF"/>
      <name val="Calibri"/>
      <family val="2"/>
    </font>
    <font>
      <b/>
      <sz val="11"/>
      <color theme="1"/>
      <name val="Calibri"/>
      <family val="2"/>
    </font>
    <font>
      <sz val="11"/>
      <color rgb="FF000000"/>
      <name val="Calibri"/>
      <family val="2"/>
    </font>
    <font>
      <sz val="11"/>
      <color theme="1"/>
      <name val="Calibri"/>
      <family val="2"/>
    </font>
    <font>
      <b/>
      <sz val="11"/>
      <color rgb="FFFFFFFF"/>
      <name val="Calibri"/>
      <family val="2"/>
    </font>
    <font>
      <b/>
      <sz val="11"/>
      <color theme="1"/>
      <name val="Calibri"/>
      <family val="2"/>
    </font>
    <font>
      <sz val="11"/>
      <color theme="1"/>
      <name val="Calibri"/>
      <family val="2"/>
    </font>
    <font>
      <b/>
      <i/>
      <u/>
      <sz val="20"/>
      <color theme="0"/>
      <name val="Calibri"/>
      <family val="2"/>
      <scheme val="minor"/>
    </font>
  </fonts>
  <fills count="20">
    <fill>
      <patternFill patternType="none"/>
    </fill>
    <fill>
      <patternFill patternType="gray125"/>
    </fill>
    <fill>
      <patternFill patternType="solid">
        <fgColor theme="6" tint="0.79998168889431442"/>
        <bgColor theme="6" tint="0.79998168889431442"/>
      </patternFill>
    </fill>
    <fill>
      <patternFill patternType="solid">
        <fgColor theme="6"/>
        <bgColor theme="6"/>
      </patternFill>
    </fill>
    <fill>
      <patternFill patternType="solid">
        <fgColor theme="9" tint="0.79998168889431442"/>
        <bgColor indexed="64"/>
      </patternFill>
    </fill>
    <fill>
      <patternFill patternType="solid">
        <fgColor theme="9"/>
        <bgColor indexed="64"/>
      </patternFill>
    </fill>
    <fill>
      <patternFill patternType="solid">
        <fgColor theme="0"/>
        <bgColor theme="6" tint="0.79998168889431442"/>
      </patternFill>
    </fill>
    <fill>
      <patternFill patternType="solid">
        <fgColor rgb="FFF8FAFC"/>
      </patternFill>
    </fill>
    <fill>
      <patternFill patternType="solid">
        <fgColor theme="6" tint="0.79998168889431442"/>
        <bgColor indexed="64"/>
      </patternFill>
    </fill>
    <fill>
      <patternFill patternType="solid">
        <fgColor theme="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196B24"/>
        <bgColor rgb="FF000000"/>
      </patternFill>
    </fill>
    <fill>
      <patternFill patternType="solid">
        <fgColor rgb="FFC1F0C8"/>
        <bgColor rgb="FF000000"/>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1" tint="0.499984740745262"/>
        <bgColor indexed="64"/>
      </patternFill>
    </fill>
  </fills>
  <borders count="46">
    <border>
      <left/>
      <right/>
      <top/>
      <bottom/>
      <diagonal/>
    </border>
    <border>
      <left/>
      <right/>
      <top style="thin">
        <color theme="6" tint="0.39997558519241921"/>
      </top>
      <bottom style="thin">
        <color theme="6" tint="0.39997558519241921"/>
      </bottom>
      <diagonal/>
    </border>
    <border>
      <left/>
      <right style="thin">
        <color indexed="64"/>
      </right>
      <top style="thin">
        <color indexed="64"/>
      </top>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top style="thin">
        <color theme="1"/>
      </top>
      <bottom style="thin">
        <color theme="1"/>
      </bottom>
      <diagonal/>
    </border>
    <border>
      <left/>
      <right/>
      <top/>
      <bottom style="thin">
        <color theme="1"/>
      </bottom>
      <diagonal/>
    </border>
    <border>
      <left/>
      <right/>
      <top style="thin">
        <color theme="1"/>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style="medium">
        <color indexed="64"/>
      </top>
      <bottom/>
      <diagonal/>
    </border>
  </borders>
  <cellStyleXfs count="7">
    <xf numFmtId="0" fontId="0" fillId="0" borderId="0"/>
    <xf numFmtId="0" fontId="2" fillId="0" borderId="0"/>
    <xf numFmtId="9" fontId="15" fillId="0" borderId="0" applyFont="0" applyFill="0" applyBorder="0" applyAlignment="0" applyProtection="0"/>
    <xf numFmtId="0" fontId="27" fillId="0" borderId="0"/>
    <xf numFmtId="0" fontId="28" fillId="0" borderId="0"/>
    <xf numFmtId="166" fontId="15" fillId="0" borderId="0" applyFont="0" applyFill="0" applyBorder="0" applyAlignment="0" applyProtection="0"/>
    <xf numFmtId="167" fontId="15" fillId="0" borderId="0" applyFont="0" applyFill="0" applyBorder="0" applyAlignment="0" applyProtection="0"/>
  </cellStyleXfs>
  <cellXfs count="377">
    <xf numFmtId="0" fontId="0" fillId="0" borderId="0" xfId="0"/>
    <xf numFmtId="0" fontId="3" fillId="0" borderId="0" xfId="0" applyFont="1"/>
    <xf numFmtId="0" fontId="5" fillId="0" borderId="0" xfId="0" applyFont="1"/>
    <xf numFmtId="0" fontId="9" fillId="0" borderId="5" xfId="0" applyFont="1" applyBorder="1" applyAlignment="1">
      <alignment horizontal="center" vertical="center" wrapText="1"/>
    </xf>
    <xf numFmtId="0" fontId="0" fillId="0" borderId="5" xfId="0" applyBorder="1"/>
    <xf numFmtId="0" fontId="12" fillId="0" borderId="5" xfId="0" applyFont="1" applyBorder="1" applyAlignment="1">
      <alignment horizontal="center" vertical="center" wrapText="1"/>
    </xf>
    <xf numFmtId="0" fontId="5" fillId="0" borderId="5" xfId="0" applyFont="1" applyBorder="1" applyAlignment="1">
      <alignment horizontal="center" vertical="center" wrapText="1"/>
    </xf>
    <xf numFmtId="0" fontId="10" fillId="0" borderId="5" xfId="0" applyFont="1" applyBorder="1" applyAlignment="1">
      <alignment wrapText="1"/>
    </xf>
    <xf numFmtId="2" fontId="10" fillId="0" borderId="5" xfId="0" applyNumberFormat="1" applyFont="1" applyBorder="1" applyAlignment="1">
      <alignment wrapText="1"/>
    </xf>
    <xf numFmtId="0" fontId="11" fillId="5" borderId="5" xfId="0" applyFont="1" applyFill="1" applyBorder="1" applyAlignment="1">
      <alignment horizontal="center" vertical="center" wrapText="1"/>
    </xf>
    <xf numFmtId="0" fontId="0" fillId="0" borderId="5" xfId="0" applyBorder="1" applyAlignment="1">
      <alignment horizontal="center"/>
    </xf>
    <xf numFmtId="4" fontId="10" fillId="0" borderId="5" xfId="0" applyNumberFormat="1" applyFont="1" applyBorder="1" applyAlignment="1">
      <alignment horizontal="center" wrapText="1"/>
    </xf>
    <xf numFmtId="0" fontId="0" fillId="0" borderId="5" xfId="0" applyBorder="1" applyAlignment="1">
      <alignment vertical="center" wrapText="1"/>
    </xf>
    <xf numFmtId="0" fontId="11" fillId="4" borderId="5" xfId="0" applyFont="1" applyFill="1" applyBorder="1" applyAlignment="1">
      <alignment horizontal="center" vertical="center" wrapText="1"/>
    </xf>
    <xf numFmtId="0" fontId="0" fillId="0" borderId="5" xfId="0" applyBorder="1" applyAlignment="1">
      <alignment wrapText="1"/>
    </xf>
    <xf numFmtId="4" fontId="0" fillId="0" borderId="5" xfId="0" applyNumberFormat="1" applyBorder="1" applyAlignment="1">
      <alignment horizontal="center" wrapText="1"/>
    </xf>
    <xf numFmtId="4" fontId="10" fillId="0" borderId="5" xfId="0" applyNumberFormat="1" applyFont="1" applyBorder="1" applyAlignment="1">
      <alignment horizontal="center" vertical="center" wrapText="1"/>
    </xf>
    <xf numFmtId="0" fontId="9" fillId="3" borderId="5" xfId="0" applyFont="1" applyFill="1" applyBorder="1" applyAlignment="1">
      <alignment horizontal="center" vertic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8" xfId="0" applyFont="1" applyBorder="1" applyAlignment="1">
      <alignment wrapText="1"/>
    </xf>
    <xf numFmtId="0" fontId="10" fillId="0" borderId="6" xfId="0" applyFont="1" applyBorder="1" applyAlignment="1">
      <alignment wrapText="1"/>
    </xf>
    <xf numFmtId="2" fontId="0" fillId="0" borderId="5" xfId="0" applyNumberFormat="1" applyBorder="1"/>
    <xf numFmtId="0" fontId="10" fillId="0" borderId="2" xfId="0" applyFont="1" applyBorder="1" applyAlignment="1">
      <alignment wrapText="1"/>
    </xf>
    <xf numFmtId="0" fontId="0" fillId="0" borderId="6" xfId="0" applyBorder="1" applyAlignment="1">
      <alignment wrapText="1"/>
    </xf>
    <xf numFmtId="2" fontId="0" fillId="0" borderId="6" xfId="0" applyNumberFormat="1" applyBorder="1"/>
    <xf numFmtId="0" fontId="0" fillId="0" borderId="6" xfId="0" applyBorder="1" applyAlignment="1">
      <alignment horizontal="center"/>
    </xf>
    <xf numFmtId="0" fontId="5" fillId="0" borderId="7" xfId="0" applyFont="1" applyBorder="1" applyAlignment="1">
      <alignment horizontal="center" vertical="center" wrapText="1"/>
    </xf>
    <xf numFmtId="0" fontId="10" fillId="0" borderId="7" xfId="0" applyFont="1" applyBorder="1" applyAlignment="1">
      <alignment wrapText="1"/>
    </xf>
    <xf numFmtId="2" fontId="10" fillId="0" borderId="7" xfId="0" applyNumberFormat="1" applyFont="1" applyBorder="1" applyAlignment="1">
      <alignment wrapText="1"/>
    </xf>
    <xf numFmtId="0" fontId="11" fillId="5" borderId="7" xfId="0" applyFont="1" applyFill="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2" fillId="0" borderId="3" xfId="0" applyFont="1" applyBorder="1" applyAlignment="1">
      <alignment horizontal="center" vertical="center" wrapText="1"/>
    </xf>
    <xf numFmtId="0" fontId="0" fillId="0" borderId="9" xfId="0" applyBorder="1"/>
    <xf numFmtId="0" fontId="14" fillId="0" borderId="0" xfId="0" applyFont="1" applyAlignment="1">
      <alignment wrapText="1"/>
    </xf>
    <xf numFmtId="0" fontId="14" fillId="0" borderId="0" xfId="0" applyFont="1" applyAlignment="1">
      <alignment vertical="top" wrapText="1"/>
    </xf>
    <xf numFmtId="0" fontId="13" fillId="0" borderId="0" xfId="0" applyFont="1" applyAlignment="1">
      <alignment vertical="top" wrapText="1"/>
    </xf>
    <xf numFmtId="0" fontId="0" fillId="0" borderId="0" xfId="0" applyAlignment="1">
      <alignment vertical="center" wrapText="1"/>
    </xf>
    <xf numFmtId="0" fontId="5" fillId="0" borderId="0" xfId="0" applyFont="1" applyAlignment="1">
      <alignment horizontal="center" vertical="center" wrapText="1"/>
    </xf>
    <xf numFmtId="0" fontId="0" fillId="0" borderId="0" xfId="0" applyAlignment="1">
      <alignment horizontal="right" vertical="center" wrapText="1"/>
    </xf>
    <xf numFmtId="0" fontId="5" fillId="0" borderId="0" xfId="0" applyFont="1" applyAlignment="1">
      <alignment horizontal="right" vertical="center" wrapText="1"/>
    </xf>
    <xf numFmtId="166" fontId="10" fillId="0" borderId="5" xfId="5" applyFont="1" applyBorder="1" applyAlignment="1">
      <alignment horizontal="center" vertical="center" wrapText="1"/>
    </xf>
    <xf numFmtId="166" fontId="10" fillId="0" borderId="5" xfId="5" applyFont="1" applyBorder="1" applyAlignment="1">
      <alignment wrapText="1"/>
    </xf>
    <xf numFmtId="0" fontId="13" fillId="0" borderId="0" xfId="0" applyFont="1" applyAlignment="1">
      <alignment wrapText="1"/>
    </xf>
    <xf numFmtId="0" fontId="0" fillId="0" borderId="0" xfId="0" applyAlignment="1">
      <alignment wrapText="1"/>
    </xf>
    <xf numFmtId="9" fontId="0" fillId="0" borderId="0" xfId="0" applyNumberFormat="1" applyAlignment="1">
      <alignment horizontal="right" vertical="center" wrapText="1"/>
    </xf>
    <xf numFmtId="0" fontId="19" fillId="0" borderId="0" xfId="0" applyFont="1" applyAlignment="1">
      <alignment wrapText="1"/>
    </xf>
    <xf numFmtId="0" fontId="5" fillId="0" borderId="5" xfId="0" applyFont="1" applyBorder="1"/>
    <xf numFmtId="4" fontId="5" fillId="0" borderId="5" xfId="0" applyNumberFormat="1" applyFont="1" applyBorder="1" applyAlignment="1">
      <alignment horizontal="center" wrapText="1"/>
    </xf>
    <xf numFmtId="3" fontId="0" fillId="0" borderId="13" xfId="0" applyNumberFormat="1" applyBorder="1" applyAlignment="1">
      <alignment horizontal="right" vertical="center" wrapText="1"/>
    </xf>
    <xf numFmtId="9" fontId="0" fillId="0" borderId="13" xfId="0" applyNumberFormat="1" applyBorder="1" applyAlignment="1">
      <alignment horizontal="right" vertical="center" wrapText="1"/>
    </xf>
    <xf numFmtId="0" fontId="0" fillId="0" borderId="13" xfId="0" applyBorder="1" applyAlignment="1">
      <alignment vertical="center" wrapText="1"/>
    </xf>
    <xf numFmtId="0" fontId="5" fillId="0" borderId="14" xfId="0" applyFont="1" applyBorder="1" applyAlignment="1">
      <alignment horizontal="center" vertical="center" wrapText="1"/>
    </xf>
    <xf numFmtId="0" fontId="0" fillId="0" borderId="15" xfId="0" applyBorder="1" applyAlignment="1">
      <alignment vertical="center" wrapText="1"/>
    </xf>
    <xf numFmtId="3" fontId="0" fillId="0" borderId="15" xfId="0" applyNumberFormat="1" applyBorder="1" applyAlignment="1">
      <alignment horizontal="right" vertical="center" wrapText="1"/>
    </xf>
    <xf numFmtId="9" fontId="0" fillId="0" borderId="15" xfId="0" applyNumberFormat="1" applyBorder="1" applyAlignment="1">
      <alignment horizontal="right" vertical="center" wrapText="1"/>
    </xf>
    <xf numFmtId="4" fontId="5" fillId="0" borderId="5" xfId="0" applyNumberFormat="1" applyFont="1" applyBorder="1" applyAlignment="1">
      <alignment horizontal="center" vertical="center" wrapText="1"/>
    </xf>
    <xf numFmtId="0" fontId="5" fillId="0" borderId="8" xfId="0" applyFont="1" applyBorder="1" applyAlignment="1">
      <alignment horizontal="center" vertical="center" wrapText="1"/>
    </xf>
    <xf numFmtId="164" fontId="0" fillId="0" borderId="0" xfId="0" applyNumberFormat="1" applyAlignment="1">
      <alignment horizontal="right" vertical="center" wrapText="1"/>
    </xf>
    <xf numFmtId="165" fontId="0" fillId="0" borderId="0" xfId="0" applyNumberFormat="1" applyAlignment="1">
      <alignment horizontal="right" vertical="center" wrapText="1"/>
    </xf>
    <xf numFmtId="2" fontId="10" fillId="0" borderId="5" xfId="0" applyNumberFormat="1" applyFont="1" applyBorder="1" applyAlignment="1">
      <alignment horizontal="center" vertical="center" wrapText="1"/>
    </xf>
    <xf numFmtId="0" fontId="13" fillId="2" borderId="1" xfId="0" applyFont="1" applyFill="1" applyBorder="1" applyAlignment="1">
      <alignment vertical="top" wrapText="1"/>
    </xf>
    <xf numFmtId="0" fontId="13" fillId="0" borderId="1" xfId="0" applyFont="1" applyBorder="1" applyAlignment="1">
      <alignment vertical="top" wrapText="1"/>
    </xf>
    <xf numFmtId="1" fontId="5" fillId="0" borderId="5" xfId="0" applyNumberFormat="1" applyFont="1" applyBorder="1" applyAlignment="1">
      <alignment horizontal="center" vertical="center"/>
    </xf>
    <xf numFmtId="1" fontId="0" fillId="0" borderId="5" xfId="0" applyNumberFormat="1" applyBorder="1"/>
    <xf numFmtId="0" fontId="13" fillId="0" borderId="0" xfId="0" applyFont="1" applyAlignment="1">
      <alignment horizontal="left" vertical="top" wrapText="1"/>
    </xf>
    <xf numFmtId="0" fontId="5"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5" fillId="0" borderId="19" xfId="0" applyFont="1" applyBorder="1" applyAlignment="1">
      <alignment horizontal="center" vertical="center" wrapText="1"/>
    </xf>
    <xf numFmtId="9" fontId="5" fillId="0" borderId="21" xfId="0" applyNumberFormat="1" applyFont="1" applyBorder="1" applyAlignment="1">
      <alignment wrapText="1"/>
    </xf>
    <xf numFmtId="1" fontId="5" fillId="0" borderId="7" xfId="0" applyNumberFormat="1" applyFont="1" applyBorder="1" applyAlignment="1">
      <alignment horizontal="center" vertical="center"/>
    </xf>
    <xf numFmtId="0" fontId="14" fillId="2" borderId="24" xfId="0" applyFont="1" applyFill="1" applyBorder="1" applyAlignment="1">
      <alignment vertical="top" wrapText="1"/>
    </xf>
    <xf numFmtId="0" fontId="13" fillId="2" borderId="25" xfId="0" applyFont="1" applyFill="1" applyBorder="1" applyAlignment="1">
      <alignment vertical="top" wrapText="1"/>
    </xf>
    <xf numFmtId="0" fontId="14" fillId="0" borderId="24" xfId="0" applyFont="1" applyBorder="1" applyAlignment="1">
      <alignment vertical="top" wrapText="1"/>
    </xf>
    <xf numFmtId="0" fontId="13" fillId="0" borderId="25" xfId="0" applyFont="1" applyBorder="1" applyAlignment="1">
      <alignment vertical="top" wrapText="1"/>
    </xf>
    <xf numFmtId="0" fontId="19" fillId="0" borderId="0" xfId="0" applyFont="1" applyAlignment="1">
      <alignment vertical="top" wrapText="1"/>
    </xf>
    <xf numFmtId="0" fontId="19" fillId="3" borderId="24" xfId="0" applyFont="1" applyFill="1" applyBorder="1" applyAlignment="1">
      <alignment vertical="top" wrapText="1"/>
    </xf>
    <xf numFmtId="0" fontId="19" fillId="3" borderId="1" xfId="0" applyFont="1" applyFill="1" applyBorder="1" applyAlignment="1">
      <alignment vertical="top" wrapText="1"/>
    </xf>
    <xf numFmtId="0" fontId="19" fillId="3" borderId="25" xfId="0" applyFont="1" applyFill="1" applyBorder="1" applyAlignment="1">
      <alignment vertical="top" wrapText="1"/>
    </xf>
    <xf numFmtId="0" fontId="0" fillId="0" borderId="0" xfId="0" applyAlignment="1">
      <alignment vertical="top" wrapText="1"/>
    </xf>
    <xf numFmtId="0" fontId="9" fillId="0" borderId="26" xfId="0" applyFont="1" applyBorder="1" applyAlignment="1">
      <alignment horizontal="center" vertical="center" wrapText="1"/>
    </xf>
    <xf numFmtId="4" fontId="10" fillId="0" borderId="8" xfId="0" applyNumberFormat="1" applyFont="1" applyBorder="1" applyAlignment="1">
      <alignment wrapText="1"/>
    </xf>
    <xf numFmtId="0" fontId="9" fillId="0" borderId="17" xfId="0" applyFont="1" applyBorder="1" applyAlignment="1">
      <alignment horizontal="center" vertical="center" wrapText="1"/>
    </xf>
    <xf numFmtId="1" fontId="10" fillId="0" borderId="20" xfId="0" applyNumberFormat="1" applyFont="1" applyBorder="1" applyAlignment="1">
      <alignment wrapText="1"/>
    </xf>
    <xf numFmtId="0" fontId="0" fillId="0" borderId="21" xfId="0" applyBorder="1"/>
    <xf numFmtId="0" fontId="0" fillId="0" borderId="21" xfId="0" applyBorder="1" applyAlignment="1">
      <alignment horizontal="left" vertical="center"/>
    </xf>
    <xf numFmtId="0" fontId="10" fillId="0" borderId="20" xfId="0" applyFont="1" applyBorder="1" applyAlignment="1">
      <alignment wrapText="1"/>
    </xf>
    <xf numFmtId="0" fontId="0" fillId="0" borderId="27" xfId="0" applyBorder="1"/>
    <xf numFmtId="0" fontId="10" fillId="0" borderId="22" xfId="0" applyFont="1" applyBorder="1" applyAlignment="1">
      <alignment wrapText="1"/>
    </xf>
    <xf numFmtId="0" fontId="10" fillId="0" borderId="16" xfId="0" applyFont="1" applyBorder="1" applyAlignment="1">
      <alignment wrapText="1"/>
    </xf>
    <xf numFmtId="0" fontId="5" fillId="0" borderId="9" xfId="2" applyNumberFormat="1" applyFont="1" applyBorder="1" applyAlignment="1">
      <alignment horizontal="center" vertical="center" wrapText="1"/>
    </xf>
    <xf numFmtId="0" fontId="9" fillId="0" borderId="3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3" xfId="0" applyFont="1" applyBorder="1" applyAlignment="1">
      <alignment horizontal="center" vertical="center" wrapText="1"/>
    </xf>
    <xf numFmtId="0" fontId="10" fillId="0" borderId="34" xfId="0" applyFont="1" applyBorder="1" applyAlignment="1">
      <alignment wrapText="1"/>
    </xf>
    <xf numFmtId="0" fontId="0" fillId="0" borderId="35" xfId="0" applyBorder="1"/>
    <xf numFmtId="2" fontId="11" fillId="0" borderId="7" xfId="0" applyNumberFormat="1" applyFont="1" applyBorder="1" applyAlignment="1">
      <alignment horizontal="center" vertical="center" wrapText="1"/>
    </xf>
    <xf numFmtId="9" fontId="11" fillId="0" borderId="5" xfId="0" applyNumberFormat="1" applyFont="1" applyBorder="1" applyAlignment="1">
      <alignment wrapText="1"/>
    </xf>
    <xf numFmtId="0" fontId="12" fillId="0" borderId="0" xfId="0" applyFont="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0" fillId="0" borderId="4" xfId="0" applyBorder="1"/>
    <xf numFmtId="0" fontId="0" fillId="0" borderId="5" xfId="0" applyBorder="1" applyAlignment="1">
      <alignment horizontal="center" vertical="center" wrapText="1"/>
    </xf>
    <xf numFmtId="9" fontId="11" fillId="0" borderId="5" xfId="0" applyNumberFormat="1" applyFont="1" applyBorder="1" applyAlignment="1">
      <alignment horizontal="right" wrapText="1"/>
    </xf>
    <xf numFmtId="9" fontId="5" fillId="0" borderId="5" xfId="0" applyNumberFormat="1" applyFont="1" applyBorder="1" applyAlignment="1">
      <alignment horizontal="right"/>
    </xf>
    <xf numFmtId="4" fontId="0" fillId="0" borderId="5" xfId="0" applyNumberFormat="1" applyBorder="1" applyAlignment="1">
      <alignment horizontal="center" vertical="center" wrapText="1"/>
    </xf>
    <xf numFmtId="9" fontId="11" fillId="0" borderId="5" xfId="0" applyNumberFormat="1" applyFont="1" applyBorder="1" applyAlignment="1">
      <alignment horizontal="center" wrapText="1"/>
    </xf>
    <xf numFmtId="0" fontId="22" fillId="0" borderId="21" xfId="0" applyFont="1" applyBorder="1"/>
    <xf numFmtId="0" fontId="5" fillId="0" borderId="0" xfId="0" applyFont="1" applyAlignment="1">
      <alignment horizontal="center" vertical="top" wrapText="1"/>
    </xf>
    <xf numFmtId="0" fontId="5" fillId="0" borderId="0" xfId="0" applyFont="1" applyAlignment="1">
      <alignment horizontal="right" vertical="top" wrapText="1"/>
    </xf>
    <xf numFmtId="0" fontId="0" fillId="0" borderId="0" xfId="0" applyAlignment="1">
      <alignment horizontal="right" vertical="top" wrapText="1"/>
    </xf>
    <xf numFmtId="9" fontId="0" fillId="0" borderId="0" xfId="0" applyNumberFormat="1" applyAlignment="1">
      <alignment horizontal="right" vertical="top" wrapText="1"/>
    </xf>
    <xf numFmtId="0" fontId="12" fillId="0" borderId="7" xfId="0" applyFont="1" applyBorder="1" applyAlignment="1">
      <alignment horizontal="center" vertical="center" wrapText="1"/>
    </xf>
    <xf numFmtId="0" fontId="12" fillId="0" borderId="26" xfId="0" applyFont="1" applyBorder="1" applyAlignment="1">
      <alignment horizontal="center" vertical="center" wrapText="1"/>
    </xf>
    <xf numFmtId="0" fontId="0" fillId="0" borderId="20" xfId="0" applyBorder="1" applyAlignment="1">
      <alignment wrapText="1"/>
    </xf>
    <xf numFmtId="0" fontId="0" fillId="0" borderId="5" xfId="0" applyBorder="1" applyAlignment="1">
      <alignment horizontal="center" vertical="center"/>
    </xf>
    <xf numFmtId="2" fontId="0" fillId="0" borderId="5" xfId="0" applyNumberFormat="1" applyBorder="1" applyAlignment="1">
      <alignment horizontal="right" wrapText="1"/>
    </xf>
    <xf numFmtId="2" fontId="0" fillId="0" borderId="5" xfId="0" applyNumberFormat="1" applyBorder="1" applyAlignment="1">
      <alignment horizontal="right" vertical="center" wrapText="1"/>
    </xf>
    <xf numFmtId="9" fontId="0" fillId="0" borderId="5" xfId="0" applyNumberFormat="1" applyBorder="1" applyAlignment="1">
      <alignment wrapText="1"/>
    </xf>
    <xf numFmtId="166" fontId="0" fillId="0" borderId="5" xfId="5" applyFont="1" applyBorder="1" applyAlignment="1">
      <alignment wrapText="1"/>
    </xf>
    <xf numFmtId="0" fontId="0" fillId="0" borderId="5" xfId="0" applyBorder="1" applyAlignment="1">
      <alignment horizontal="center" wrapText="1"/>
    </xf>
    <xf numFmtId="0" fontId="0" fillId="0" borderId="5" xfId="0" applyBorder="1" applyAlignment="1">
      <alignment horizontal="right" wrapText="1"/>
    </xf>
    <xf numFmtId="0" fontId="0" fillId="0" borderId="9" xfId="0" applyBorder="1" applyAlignment="1">
      <alignment horizontal="center" wrapText="1"/>
    </xf>
    <xf numFmtId="0" fontId="0" fillId="0" borderId="22" xfId="0" applyBorder="1" applyAlignment="1">
      <alignment horizontal="center" wrapText="1"/>
    </xf>
    <xf numFmtId="0" fontId="0" fillId="0" borderId="16" xfId="0" applyBorder="1" applyAlignment="1">
      <alignment horizontal="center" wrapText="1"/>
    </xf>
    <xf numFmtId="0" fontId="0" fillId="0" borderId="16" xfId="0" applyBorder="1" applyAlignment="1">
      <alignment horizontal="center" vertical="center"/>
    </xf>
    <xf numFmtId="0" fontId="0" fillId="0" borderId="0" xfId="0" applyAlignment="1">
      <alignment horizontal="center" vertical="center" wrapText="1"/>
    </xf>
    <xf numFmtId="0" fontId="0" fillId="0" borderId="5" xfId="0" applyBorder="1" applyAlignment="1">
      <alignment horizontal="left"/>
    </xf>
    <xf numFmtId="4" fontId="0" fillId="0" borderId="8" xfId="0" applyNumberFormat="1" applyBorder="1" applyAlignment="1">
      <alignment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6" xfId="0" applyFont="1" applyBorder="1" applyAlignment="1">
      <alignment horizontal="center" vertical="center" wrapText="1"/>
    </xf>
    <xf numFmtId="2" fontId="0" fillId="0" borderId="18" xfId="0" applyNumberFormat="1" applyBorder="1" applyAlignment="1">
      <alignment wrapText="1"/>
    </xf>
    <xf numFmtId="0" fontId="22" fillId="8" borderId="5" xfId="0" applyFont="1" applyFill="1" applyBorder="1" applyAlignment="1">
      <alignment horizontal="center"/>
    </xf>
    <xf numFmtId="0" fontId="23" fillId="8" borderId="5" xfId="0" applyFont="1" applyFill="1" applyBorder="1" applyAlignment="1">
      <alignment horizontal="right"/>
    </xf>
    <xf numFmtId="0" fontId="23" fillId="8" borderId="5" xfId="0" applyFont="1" applyFill="1" applyBorder="1" applyAlignment="1">
      <alignment horizontal="center"/>
    </xf>
    <xf numFmtId="0" fontId="9" fillId="0" borderId="39"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40" xfId="0" applyFont="1" applyBorder="1" applyAlignment="1">
      <alignment horizontal="center" vertical="center" wrapText="1"/>
    </xf>
    <xf numFmtId="0" fontId="0" fillId="7" borderId="5" xfId="0" applyFill="1" applyBorder="1" applyAlignment="1">
      <alignment vertical="top" wrapText="1"/>
    </xf>
    <xf numFmtId="0" fontId="0" fillId="8" borderId="5" xfId="0" applyFill="1" applyBorder="1" applyAlignment="1">
      <alignment vertical="top" wrapText="1"/>
    </xf>
    <xf numFmtId="169" fontId="0" fillId="0" borderId="0" xfId="0" applyNumberFormat="1" applyAlignment="1">
      <alignment horizontal="right" vertical="center" wrapText="1"/>
    </xf>
    <xf numFmtId="169" fontId="0" fillId="0" borderId="0" xfId="0" applyNumberFormat="1" applyAlignment="1">
      <alignment horizontal="right" vertical="top" wrapText="1"/>
    </xf>
    <xf numFmtId="0" fontId="0" fillId="0" borderId="5" xfId="0" applyBorder="1" applyAlignment="1">
      <alignment horizontal="left" vertical="center" wrapText="1"/>
    </xf>
    <xf numFmtId="0" fontId="10" fillId="0" borderId="5" xfId="0" applyFont="1" applyBorder="1" applyAlignment="1">
      <alignment horizontal="center" vertical="center" wrapText="1"/>
    </xf>
    <xf numFmtId="1" fontId="0" fillId="0" borderId="5" xfId="0" applyNumberFormat="1" applyBorder="1" applyAlignment="1">
      <alignment horizontal="right" vertical="center"/>
    </xf>
    <xf numFmtId="1" fontId="0" fillId="0" borderId="16" xfId="0" applyNumberFormat="1" applyBorder="1" applyAlignment="1">
      <alignment horizontal="right" vertical="center"/>
    </xf>
    <xf numFmtId="0" fontId="22" fillId="8" borderId="5" xfId="0" applyFont="1" applyFill="1" applyBorder="1" applyAlignment="1">
      <alignment horizontal="left"/>
    </xf>
    <xf numFmtId="0" fontId="25" fillId="0" borderId="7" xfId="0" applyFont="1" applyBorder="1" applyAlignment="1">
      <alignment horizontal="center" vertical="center" wrapText="1"/>
    </xf>
    <xf numFmtId="0" fontId="0" fillId="0" borderId="12" xfId="0" applyBorder="1" applyAlignment="1">
      <alignment horizontal="left"/>
    </xf>
    <xf numFmtId="0" fontId="22" fillId="0" borderId="19" xfId="0" applyFont="1" applyBorder="1"/>
    <xf numFmtId="0" fontId="22" fillId="0" borderId="23" xfId="0" applyFont="1" applyBorder="1" applyAlignment="1">
      <alignment horizontal="center" wrapText="1"/>
    </xf>
    <xf numFmtId="0" fontId="5" fillId="5" borderId="18" xfId="0" applyFont="1" applyFill="1" applyBorder="1" applyAlignment="1">
      <alignment horizontal="center" vertical="center" wrapText="1"/>
    </xf>
    <xf numFmtId="0" fontId="24" fillId="0" borderId="37" xfId="0" applyFont="1" applyBorder="1" applyAlignment="1">
      <alignment horizontal="center" vertical="center" wrapText="1"/>
    </xf>
    <xf numFmtId="0" fontId="24" fillId="0" borderId="7" xfId="0" applyFont="1" applyBorder="1" applyAlignment="1">
      <alignment horizontal="center" vertical="center" wrapText="1"/>
    </xf>
    <xf numFmtId="0" fontId="12" fillId="2" borderId="5" xfId="0" applyFont="1" applyFill="1" applyBorder="1" applyAlignment="1">
      <alignment horizontal="center" vertical="center" wrapText="1"/>
    </xf>
    <xf numFmtId="0" fontId="0" fillId="2" borderId="5" xfId="0" applyFill="1" applyBorder="1" applyAlignment="1">
      <alignment horizontal="center" vertical="center" wrapText="1"/>
    </xf>
    <xf numFmtId="2" fontId="0" fillId="0" borderId="5" xfId="0" applyNumberFormat="1" applyBorder="1" applyAlignment="1">
      <alignment horizontal="center" vertical="center" wrapText="1"/>
    </xf>
    <xf numFmtId="9" fontId="0" fillId="0" borderId="21" xfId="0" applyNumberFormat="1" applyBorder="1" applyAlignment="1">
      <alignment horizontal="center" vertical="center" wrapText="1"/>
    </xf>
    <xf numFmtId="0" fontId="10" fillId="6" borderId="5" xfId="0" applyFont="1" applyFill="1" applyBorder="1" applyAlignment="1">
      <alignment wrapText="1"/>
    </xf>
    <xf numFmtId="9" fontId="0" fillId="0" borderId="21" xfId="0" applyNumberFormat="1" applyBorder="1" applyAlignment="1">
      <alignment wrapText="1"/>
    </xf>
    <xf numFmtId="0" fontId="10" fillId="2" borderId="5" xfId="0" applyFont="1" applyFill="1" applyBorder="1" applyAlignment="1">
      <alignment wrapText="1"/>
    </xf>
    <xf numFmtId="4" fontId="10" fillId="2" borderId="5" xfId="0" applyNumberFormat="1" applyFont="1" applyFill="1" applyBorder="1" applyAlignment="1">
      <alignment horizontal="center" wrapText="1"/>
    </xf>
    <xf numFmtId="4" fontId="0" fillId="2" borderId="5" xfId="0" applyNumberFormat="1" applyFill="1" applyBorder="1" applyAlignment="1">
      <alignment horizontal="center" wrapText="1"/>
    </xf>
    <xf numFmtId="0" fontId="10" fillId="0" borderId="5" xfId="0" applyFont="1" applyBorder="1" applyAlignment="1">
      <alignment horizontal="right" wrapText="1"/>
    </xf>
    <xf numFmtId="0" fontId="25" fillId="3" borderId="5" xfId="0" applyFont="1" applyFill="1" applyBorder="1" applyAlignment="1">
      <alignment horizontal="center" vertical="center" wrapText="1"/>
    </xf>
    <xf numFmtId="0" fontId="25" fillId="0" borderId="18" xfId="0" applyFont="1" applyBorder="1" applyAlignment="1">
      <alignment horizontal="center" vertical="center" wrapText="1"/>
    </xf>
    <xf numFmtId="0" fontId="10" fillId="0" borderId="5" xfId="0" applyFont="1" applyBorder="1" applyAlignment="1">
      <alignment horizontal="right" vertical="center" wrapText="1"/>
    </xf>
    <xf numFmtId="0" fontId="10" fillId="0" borderId="9" xfId="0" applyFont="1" applyBorder="1" applyAlignment="1">
      <alignment horizontal="right" vertical="center" wrapText="1"/>
    </xf>
    <xf numFmtId="0" fontId="22" fillId="0" borderId="21" xfId="0" applyFont="1" applyBorder="1" applyAlignment="1">
      <alignment horizontal="left"/>
    </xf>
    <xf numFmtId="0" fontId="15" fillId="0" borderId="9" xfId="2" applyNumberFormat="1" applyFont="1" applyBorder="1" applyAlignment="1">
      <alignment horizontal="left" vertical="center" wrapText="1"/>
    </xf>
    <xf numFmtId="4" fontId="0" fillId="2" borderId="5" xfId="0" applyNumberFormat="1" applyFill="1" applyBorder="1" applyAlignment="1">
      <alignment horizontal="center" vertical="center" wrapText="1"/>
    </xf>
    <xf numFmtId="0" fontId="0" fillId="0" borderId="9" xfId="0" applyBorder="1" applyAlignment="1">
      <alignment horizontal="left"/>
    </xf>
    <xf numFmtId="9" fontId="11" fillId="0" borderId="5" xfId="0" applyNumberFormat="1" applyFont="1" applyBorder="1" applyAlignment="1">
      <alignment horizontal="right" vertical="center" wrapText="1"/>
    </xf>
    <xf numFmtId="2" fontId="10" fillId="0" borderId="5" xfId="0" applyNumberFormat="1" applyFont="1" applyBorder="1" applyAlignment="1">
      <alignment horizontal="right" wrapText="1"/>
    </xf>
    <xf numFmtId="0" fontId="0" fillId="0" borderId="0" xfId="0" applyAlignment="1">
      <alignment horizontal="left" vertical="center"/>
    </xf>
    <xf numFmtId="1" fontId="0" fillId="0" borderId="5" xfId="0" applyNumberFormat="1" applyBorder="1" applyAlignment="1">
      <alignment horizontal="right"/>
    </xf>
    <xf numFmtId="2" fontId="0" fillId="0" borderId="5" xfId="0" applyNumberFormat="1" applyBorder="1" applyAlignment="1">
      <alignment wrapText="1"/>
    </xf>
    <xf numFmtId="1" fontId="0" fillId="0" borderId="5" xfId="0" applyNumberFormat="1" applyBorder="1" applyAlignment="1">
      <alignment horizontal="center" vertical="center"/>
    </xf>
    <xf numFmtId="168" fontId="0" fillId="0" borderId="5" xfId="0" applyNumberFormat="1" applyBorder="1" applyAlignment="1">
      <alignment horizontal="center" vertical="center"/>
    </xf>
    <xf numFmtId="0" fontId="0" fillId="4" borderId="5" xfId="0" applyFill="1" applyBorder="1" applyAlignment="1">
      <alignment horizontal="center" vertical="center" wrapText="1"/>
    </xf>
    <xf numFmtId="2" fontId="0" fillId="0" borderId="5" xfId="0" applyNumberFormat="1" applyBorder="1" applyAlignment="1">
      <alignment horizontal="right"/>
    </xf>
    <xf numFmtId="0" fontId="23" fillId="8" borderId="5" xfId="0" applyFont="1" applyFill="1" applyBorder="1" applyAlignment="1">
      <alignment horizontal="left"/>
    </xf>
    <xf numFmtId="0" fontId="15" fillId="0" borderId="5" xfId="5" applyNumberFormat="1" applyFont="1" applyBorder="1" applyAlignment="1">
      <alignment horizontal="right" vertical="center" wrapText="1"/>
    </xf>
    <xf numFmtId="166" fontId="15" fillId="0" borderId="5" xfId="5" applyFont="1" applyBorder="1" applyAlignment="1">
      <alignment horizontal="right"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5" fillId="0" borderId="0" xfId="0" applyFont="1" applyAlignment="1">
      <alignment vertical="top" wrapText="1"/>
    </xf>
    <xf numFmtId="0" fontId="14" fillId="0" borderId="0" xfId="0" applyFont="1" applyAlignment="1">
      <alignment horizontal="left" vertical="top" wrapText="1"/>
    </xf>
    <xf numFmtId="0" fontId="0" fillId="10" borderId="0" xfId="0" applyFill="1"/>
    <xf numFmtId="0" fontId="0" fillId="2" borderId="8" xfId="0" applyFill="1" applyBorder="1" applyAlignment="1">
      <alignment horizontal="center" vertical="center" wrapText="1"/>
    </xf>
    <xf numFmtId="0" fontId="10" fillId="6" borderId="8" xfId="0" applyFont="1" applyFill="1" applyBorder="1"/>
    <xf numFmtId="0" fontId="10" fillId="0" borderId="8" xfId="0" applyFont="1" applyBorder="1"/>
    <xf numFmtId="0" fontId="10" fillId="2" borderId="8" xfId="0" applyFont="1" applyFill="1" applyBorder="1"/>
    <xf numFmtId="0" fontId="30" fillId="0" borderId="0" xfId="0" applyFont="1" applyAlignment="1">
      <alignment vertical="center" wrapText="1"/>
    </xf>
    <xf numFmtId="1" fontId="10" fillId="0" borderId="5" xfId="0" applyNumberFormat="1" applyFont="1" applyBorder="1" applyAlignment="1">
      <alignment wrapText="1"/>
    </xf>
    <xf numFmtId="0" fontId="25" fillId="0" borderId="32" xfId="0" applyFont="1" applyBorder="1" applyAlignment="1">
      <alignment horizontal="center" vertical="center" wrapText="1"/>
    </xf>
    <xf numFmtId="0" fontId="9" fillId="13" borderId="0" xfId="0" applyFont="1" applyFill="1" applyAlignment="1">
      <alignment horizontal="center"/>
    </xf>
    <xf numFmtId="0" fontId="11" fillId="14" borderId="0" xfId="0" applyFont="1" applyFill="1"/>
    <xf numFmtId="0" fontId="13" fillId="0" borderId="0" xfId="0" applyFont="1"/>
    <xf numFmtId="0" fontId="25" fillId="0" borderId="5" xfId="0" applyFont="1" applyBorder="1" applyAlignment="1">
      <alignment horizontal="center" vertical="center" wrapText="1"/>
    </xf>
    <xf numFmtId="0" fontId="25" fillId="0" borderId="11" xfId="0" applyFont="1" applyBorder="1" applyAlignment="1">
      <alignment horizontal="center" vertical="center" wrapText="1"/>
    </xf>
    <xf numFmtId="0" fontId="33" fillId="0" borderId="0" xfId="0" applyFont="1"/>
    <xf numFmtId="0" fontId="10" fillId="0" borderId="5" xfId="0" applyFont="1" applyBorder="1" applyAlignment="1">
      <alignment horizontal="left" wrapText="1"/>
    </xf>
    <xf numFmtId="0" fontId="22" fillId="0" borderId="5" xfId="0" applyFont="1" applyBorder="1"/>
    <xf numFmtId="0" fontId="5" fillId="0" borderId="0" xfId="0" applyFont="1" applyAlignment="1">
      <alignment vertical="center" wrapText="1"/>
    </xf>
    <xf numFmtId="0" fontId="0" fillId="0" borderId="6" xfId="0" applyBorder="1" applyAlignment="1">
      <alignment horizontal="left" wrapText="1"/>
    </xf>
    <xf numFmtId="0" fontId="5" fillId="0" borderId="5" xfId="0" applyFont="1" applyBorder="1" applyAlignment="1">
      <alignment horizontal="right" vertical="center" wrapText="1"/>
    </xf>
    <xf numFmtId="2" fontId="5" fillId="0" borderId="5" xfId="0" applyNumberFormat="1" applyFont="1" applyBorder="1" applyAlignment="1">
      <alignment horizontal="right" vertical="center" wrapText="1"/>
    </xf>
    <xf numFmtId="9" fontId="5" fillId="0" borderId="5" xfId="0" applyNumberFormat="1" applyFont="1" applyBorder="1" applyAlignment="1">
      <alignment horizontal="right" vertical="center" wrapText="1"/>
    </xf>
    <xf numFmtId="0" fontId="5" fillId="0" borderId="9" xfId="0" applyFont="1" applyBorder="1" applyAlignment="1">
      <alignment horizontal="left"/>
    </xf>
    <xf numFmtId="0" fontId="5" fillId="0" borderId="17" xfId="0" applyFont="1" applyBorder="1" applyAlignment="1">
      <alignment wrapText="1"/>
    </xf>
    <xf numFmtId="0" fontId="5" fillId="0" borderId="18" xfId="0" applyFont="1" applyBorder="1" applyAlignment="1">
      <alignment wrapText="1"/>
    </xf>
    <xf numFmtId="2" fontId="5" fillId="0" borderId="18" xfId="0" applyNumberFormat="1" applyFont="1" applyBorder="1" applyAlignment="1">
      <alignment wrapText="1"/>
    </xf>
    <xf numFmtId="0" fontId="5" fillId="0" borderId="18" xfId="0" applyFont="1" applyBorder="1" applyAlignment="1">
      <alignment horizontal="center" vertical="center"/>
    </xf>
    <xf numFmtId="4" fontId="5" fillId="0" borderId="8" xfId="0" applyNumberFormat="1" applyFont="1" applyBorder="1" applyAlignment="1">
      <alignment wrapText="1"/>
    </xf>
    <xf numFmtId="166" fontId="5" fillId="0" borderId="5" xfId="5" applyFont="1" applyBorder="1" applyAlignment="1">
      <alignment horizontal="center" vertical="center" wrapText="1"/>
    </xf>
    <xf numFmtId="0" fontId="0" fillId="0" borderId="5" xfId="0" applyBorder="1" applyAlignment="1">
      <alignment horizontal="left" wrapText="1"/>
    </xf>
    <xf numFmtId="0" fontId="5" fillId="0" borderId="14" xfId="0" applyFont="1" applyBorder="1" applyAlignment="1">
      <alignment horizontal="left" vertical="center" wrapText="1"/>
    </xf>
    <xf numFmtId="9" fontId="5" fillId="0" borderId="5" xfId="0" applyNumberFormat="1" applyFont="1" applyBorder="1" applyAlignment="1">
      <alignment vertical="center" wrapText="1"/>
    </xf>
    <xf numFmtId="171" fontId="10" fillId="0" borderId="5" xfId="5" applyNumberFormat="1" applyFont="1" applyBorder="1" applyAlignment="1" applyProtection="1">
      <alignment wrapText="1"/>
    </xf>
    <xf numFmtId="0" fontId="10" fillId="0" borderId="5" xfId="0" applyFont="1" applyBorder="1" applyProtection="1">
      <protection locked="0"/>
    </xf>
    <xf numFmtId="4" fontId="27" fillId="0" borderId="5" xfId="0" applyNumberFormat="1" applyFont="1" applyBorder="1" applyProtection="1">
      <protection locked="0"/>
    </xf>
    <xf numFmtId="0" fontId="13" fillId="0" borderId="5" xfId="0" applyFont="1" applyBorder="1" applyProtection="1">
      <protection locked="0"/>
    </xf>
    <xf numFmtId="3" fontId="27" fillId="0" borderId="5" xfId="0" applyNumberFormat="1" applyFont="1" applyBorder="1" applyProtection="1">
      <protection locked="0"/>
    </xf>
    <xf numFmtId="0" fontId="0" fillId="0" borderId="5" xfId="0" applyBorder="1" applyAlignment="1" applyProtection="1">
      <alignment wrapText="1"/>
      <protection locked="0"/>
    </xf>
    <xf numFmtId="0" fontId="13" fillId="0" borderId="6" xfId="0" applyFont="1" applyBorder="1" applyProtection="1">
      <protection locked="0"/>
    </xf>
    <xf numFmtId="0" fontId="0" fillId="0" borderId="6" xfId="0" applyBorder="1" applyAlignment="1" applyProtection="1">
      <alignment wrapText="1"/>
      <protection locked="0"/>
    </xf>
    <xf numFmtId="166" fontId="10" fillId="0" borderId="5" xfId="5" applyFont="1" applyBorder="1" applyAlignment="1" applyProtection="1">
      <alignment wrapText="1"/>
    </xf>
    <xf numFmtId="0" fontId="27" fillId="0" borderId="5" xfId="0" applyFont="1" applyBorder="1" applyProtection="1">
      <protection locked="0"/>
    </xf>
    <xf numFmtId="0" fontId="27" fillId="15" borderId="5" xfId="0" applyFont="1" applyFill="1" applyBorder="1"/>
    <xf numFmtId="0" fontId="13" fillId="0" borderId="5" xfId="0" applyFont="1" applyBorder="1"/>
    <xf numFmtId="4" fontId="27" fillId="0" borderId="5" xfId="0" applyNumberFormat="1" applyFont="1" applyBorder="1"/>
    <xf numFmtId="0" fontId="27" fillId="0" borderId="5" xfId="0" applyFont="1" applyBorder="1"/>
    <xf numFmtId="9" fontId="27" fillId="0" borderId="5" xfId="0" applyNumberFormat="1" applyFont="1" applyBorder="1"/>
    <xf numFmtId="1" fontId="27" fillId="0" borderId="5" xfId="0" applyNumberFormat="1" applyFont="1" applyBorder="1" applyAlignment="1">
      <alignment vertical="center"/>
    </xf>
    <xf numFmtId="1" fontId="27" fillId="0" borderId="5" xfId="0" applyNumberFormat="1" applyFont="1" applyBorder="1"/>
    <xf numFmtId="4" fontId="27" fillId="0" borderId="5" xfId="0" applyNumberFormat="1" applyFont="1" applyBorder="1" applyAlignment="1">
      <alignment vertical="center"/>
    </xf>
    <xf numFmtId="4" fontId="27" fillId="0" borderId="5" xfId="0" applyNumberFormat="1" applyFont="1" applyBorder="1" applyAlignment="1">
      <alignment horizontal="right"/>
    </xf>
    <xf numFmtId="4" fontId="27" fillId="0" borderId="9" xfId="0" applyNumberFormat="1" applyFont="1" applyBorder="1" applyAlignment="1">
      <alignment horizontal="right"/>
    </xf>
    <xf numFmtId="4" fontId="27" fillId="0" borderId="9" xfId="0" applyNumberFormat="1" applyFont="1" applyBorder="1" applyAlignment="1">
      <alignment vertical="center"/>
    </xf>
    <xf numFmtId="171" fontId="27" fillId="0" borderId="5" xfId="0" applyNumberFormat="1" applyFont="1" applyBorder="1"/>
    <xf numFmtId="170" fontId="35" fillId="0" borderId="5" xfId="0" applyNumberFormat="1" applyFont="1" applyBorder="1"/>
    <xf numFmtId="171" fontId="0" fillId="0" borderId="5" xfId="5" applyNumberFormat="1" applyFont="1" applyBorder="1" applyAlignment="1" applyProtection="1">
      <alignment wrapText="1"/>
    </xf>
    <xf numFmtId="171" fontId="0" fillId="0" borderId="8" xfId="5" applyNumberFormat="1" applyFont="1" applyBorder="1" applyAlignment="1" applyProtection="1">
      <alignment wrapText="1"/>
    </xf>
    <xf numFmtId="2" fontId="27" fillId="0" borderId="5" xfId="6" applyNumberFormat="1" applyFont="1" applyBorder="1" applyProtection="1"/>
    <xf numFmtId="171" fontId="35" fillId="0" borderId="5" xfId="0" applyNumberFormat="1" applyFont="1" applyBorder="1"/>
    <xf numFmtId="0" fontId="0" fillId="9" borderId="0" xfId="0" applyFill="1" applyProtection="1">
      <protection locked="0"/>
    </xf>
    <xf numFmtId="0" fontId="0" fillId="0" borderId="0" xfId="0" applyProtection="1">
      <protection locked="0"/>
    </xf>
    <xf numFmtId="0" fontId="4" fillId="0" borderId="3"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4" fillId="0" borderId="26" xfId="0" applyFont="1" applyBorder="1" applyAlignment="1" applyProtection="1">
      <alignment horizontal="center" vertical="center" wrapText="1"/>
      <protection locked="0"/>
    </xf>
    <xf numFmtId="0" fontId="27" fillId="9" borderId="0" xfId="3" applyFill="1" applyProtection="1">
      <protection locked="0"/>
    </xf>
    <xf numFmtId="0" fontId="27" fillId="9" borderId="0" xfId="0" applyFont="1" applyFill="1" applyProtection="1">
      <protection locked="0"/>
    </xf>
    <xf numFmtId="4" fontId="27" fillId="9" borderId="0" xfId="0" applyNumberFormat="1" applyFont="1" applyFill="1" applyProtection="1">
      <protection locked="0"/>
    </xf>
    <xf numFmtId="170" fontId="27" fillId="9" borderId="0" xfId="0" applyNumberFormat="1" applyFont="1" applyFill="1" applyProtection="1">
      <protection locked="0"/>
    </xf>
    <xf numFmtId="0" fontId="0" fillId="9" borderId="0" xfId="0" applyFill="1" applyAlignment="1" applyProtection="1">
      <alignment vertical="center"/>
      <protection locked="0"/>
    </xf>
    <xf numFmtId="0" fontId="4" fillId="9" borderId="3" xfId="0" applyFont="1" applyFill="1" applyBorder="1" applyAlignment="1" applyProtection="1">
      <alignment horizontal="center" vertical="center" wrapText="1"/>
      <protection locked="0"/>
    </xf>
    <xf numFmtId="0" fontId="4" fillId="9" borderId="7" xfId="0" applyFont="1" applyFill="1" applyBorder="1" applyAlignment="1" applyProtection="1">
      <alignment horizontal="center" vertical="center" wrapText="1"/>
      <protection locked="0"/>
    </xf>
    <xf numFmtId="0" fontId="12" fillId="9" borderId="7" xfId="0" applyFont="1" applyFill="1" applyBorder="1" applyAlignment="1" applyProtection="1">
      <alignment horizontal="center" vertical="center" wrapText="1"/>
      <protection locked="0"/>
    </xf>
    <xf numFmtId="0" fontId="4" fillId="9" borderId="7" xfId="0" applyFont="1" applyFill="1" applyBorder="1" applyAlignment="1" applyProtection="1">
      <alignment vertical="center" wrapText="1"/>
      <protection locked="0"/>
    </xf>
    <xf numFmtId="0" fontId="4" fillId="9" borderId="26" xfId="0" applyFont="1" applyFill="1" applyBorder="1" applyAlignment="1" applyProtection="1">
      <alignment horizontal="center" vertical="center" wrapText="1"/>
      <protection locked="0"/>
    </xf>
    <xf numFmtId="0" fontId="27" fillId="9" borderId="3" xfId="3" applyFill="1" applyBorder="1" applyProtection="1">
      <protection locked="0"/>
    </xf>
    <xf numFmtId="0" fontId="0" fillId="9" borderId="40" xfId="0" applyFill="1" applyBorder="1" applyAlignment="1" applyProtection="1">
      <alignment vertical="center" wrapText="1"/>
      <protection locked="0"/>
    </xf>
    <xf numFmtId="0" fontId="13" fillId="9" borderId="40" xfId="0" applyFont="1" applyFill="1" applyBorder="1" applyProtection="1">
      <protection locked="0"/>
    </xf>
    <xf numFmtId="4" fontId="27" fillId="9" borderId="40" xfId="0" applyNumberFormat="1" applyFont="1" applyFill="1" applyBorder="1" applyProtection="1">
      <protection locked="0"/>
    </xf>
    <xf numFmtId="0" fontId="0" fillId="9" borderId="40" xfId="0" applyFill="1" applyBorder="1" applyAlignment="1" applyProtection="1">
      <alignment wrapText="1"/>
      <protection locked="0"/>
    </xf>
    <xf numFmtId="9" fontId="27" fillId="9" borderId="40" xfId="0" applyNumberFormat="1" applyFont="1" applyFill="1" applyBorder="1" applyProtection="1">
      <protection locked="0"/>
    </xf>
    <xf numFmtId="0" fontId="27" fillId="9" borderId="7" xfId="0" applyFont="1" applyFill="1" applyBorder="1" applyProtection="1">
      <protection locked="0"/>
    </xf>
    <xf numFmtId="170" fontId="27" fillId="9" borderId="40" xfId="0" applyNumberFormat="1" applyFont="1" applyFill="1" applyBorder="1" applyProtection="1">
      <protection locked="0"/>
    </xf>
    <xf numFmtId="0" fontId="27" fillId="9" borderId="40" xfId="0" applyFont="1" applyFill="1" applyBorder="1" applyAlignment="1" applyProtection="1">
      <alignment vertical="center"/>
      <protection locked="0"/>
    </xf>
    <xf numFmtId="0" fontId="27" fillId="9" borderId="40" xfId="0" applyFont="1" applyFill="1" applyBorder="1" applyProtection="1">
      <protection locked="0"/>
    </xf>
    <xf numFmtId="0" fontId="27" fillId="9" borderId="42" xfId="0" applyFont="1" applyFill="1" applyBorder="1" applyProtection="1">
      <protection locked="0"/>
    </xf>
    <xf numFmtId="3" fontId="0" fillId="0" borderId="5" xfId="0" applyNumberFormat="1" applyBorder="1" applyAlignment="1" applyProtection="1">
      <alignment wrapText="1"/>
      <protection locked="0"/>
    </xf>
    <xf numFmtId="3" fontId="0" fillId="0" borderId="6" xfId="0" applyNumberFormat="1" applyBorder="1" applyAlignment="1" applyProtection="1">
      <alignment wrapText="1"/>
      <protection locked="0"/>
    </xf>
    <xf numFmtId="1" fontId="0" fillId="0" borderId="5" xfId="0" applyNumberFormat="1" applyBorder="1" applyAlignment="1">
      <alignment vertical="center"/>
    </xf>
    <xf numFmtId="0" fontId="0" fillId="0" borderId="5" xfId="0" applyBorder="1" applyAlignment="1">
      <alignment vertical="center"/>
    </xf>
    <xf numFmtId="0" fontId="27" fillId="0" borderId="7" xfId="0" applyFont="1" applyBorder="1"/>
    <xf numFmtId="0" fontId="27" fillId="0" borderId="9" xfId="0" applyFont="1" applyBorder="1"/>
    <xf numFmtId="4" fontId="27" fillId="0" borderId="6" xfId="0" applyNumberFormat="1" applyFont="1" applyBorder="1"/>
    <xf numFmtId="1" fontId="27" fillId="0" borderId="6" xfId="0" applyNumberFormat="1" applyFont="1" applyBorder="1" applyAlignment="1">
      <alignment vertical="center"/>
    </xf>
    <xf numFmtId="171" fontId="27" fillId="0" borderId="6" xfId="0" applyNumberFormat="1" applyFont="1" applyBorder="1"/>
    <xf numFmtId="0" fontId="27" fillId="0" borderId="8" xfId="3" applyBorder="1"/>
    <xf numFmtId="0" fontId="11" fillId="0" borderId="5" xfId="0" applyFont="1" applyBorder="1"/>
    <xf numFmtId="0" fontId="27" fillId="0" borderId="2" xfId="3" applyBorder="1"/>
    <xf numFmtId="0" fontId="13" fillId="0" borderId="6" xfId="0" applyFont="1" applyBorder="1"/>
    <xf numFmtId="9" fontId="27" fillId="0" borderId="6" xfId="0" applyNumberFormat="1" applyFont="1" applyBorder="1"/>
    <xf numFmtId="4" fontId="27" fillId="0" borderId="6" xfId="0" applyNumberFormat="1" applyFont="1" applyBorder="1" applyAlignment="1">
      <alignment vertical="center"/>
    </xf>
    <xf numFmtId="0" fontId="0" fillId="0" borderId="5" xfId="0" applyBorder="1" applyAlignment="1">
      <alignment horizontal="right" vertical="center"/>
    </xf>
    <xf numFmtId="4" fontId="27" fillId="0" borderId="7" xfId="0" applyNumberFormat="1" applyFont="1" applyBorder="1"/>
    <xf numFmtId="4" fontId="27" fillId="0" borderId="6" xfId="0" applyNumberFormat="1" applyFont="1" applyBorder="1" applyAlignment="1">
      <alignment horizontal="right"/>
    </xf>
    <xf numFmtId="0" fontId="27" fillId="0" borderId="6" xfId="0" applyFont="1" applyBorder="1"/>
    <xf numFmtId="1" fontId="27" fillId="0" borderId="7" xfId="0" applyNumberFormat="1" applyFont="1" applyBorder="1"/>
    <xf numFmtId="1" fontId="27" fillId="0" borderId="6" xfId="0" applyNumberFormat="1" applyFont="1" applyBorder="1"/>
    <xf numFmtId="0" fontId="0" fillId="0" borderId="0" xfId="0" applyAlignment="1">
      <alignment horizontal="center" vertical="center"/>
    </xf>
    <xf numFmtId="9" fontId="0" fillId="0" borderId="5" xfId="0" applyNumberFormat="1" applyBorder="1" applyAlignment="1">
      <alignment vertical="center" wrapText="1"/>
    </xf>
    <xf numFmtId="2" fontId="5" fillId="0" borderId="5" xfId="0" applyNumberFormat="1" applyFont="1" applyBorder="1" applyAlignment="1">
      <alignment horizontal="right" wrapText="1"/>
    </xf>
    <xf numFmtId="0" fontId="5" fillId="0" borderId="5" xfId="0" applyFont="1" applyBorder="1" applyAlignment="1">
      <alignment wrapText="1"/>
    </xf>
    <xf numFmtId="2" fontId="5" fillId="0" borderId="5" xfId="0" applyNumberFormat="1" applyFont="1" applyBorder="1" applyAlignment="1">
      <alignment wrapText="1"/>
    </xf>
    <xf numFmtId="0" fontId="5" fillId="5" borderId="5" xfId="0" applyFont="1" applyFill="1" applyBorder="1" applyAlignment="1">
      <alignment horizontal="center" vertical="center" wrapText="1"/>
    </xf>
    <xf numFmtId="168" fontId="5" fillId="0" borderId="5" xfId="0" applyNumberFormat="1" applyFont="1" applyBorder="1" applyAlignment="1">
      <alignment horizontal="center" vertical="center"/>
    </xf>
    <xf numFmtId="0" fontId="24" fillId="0" borderId="5" xfId="0" applyFont="1" applyBorder="1" applyAlignment="1">
      <alignment horizontal="center" vertical="center" wrapText="1"/>
    </xf>
    <xf numFmtId="1" fontId="0" fillId="0" borderId="20" xfId="0" applyNumberFormat="1" applyBorder="1" applyAlignment="1">
      <alignment wrapText="1"/>
    </xf>
    <xf numFmtId="1" fontId="0" fillId="0" borderId="5" xfId="0" applyNumberFormat="1" applyBorder="1" applyAlignment="1">
      <alignment wrapText="1"/>
    </xf>
    <xf numFmtId="170" fontId="37" fillId="9" borderId="0" xfId="0" applyNumberFormat="1" applyFont="1" applyFill="1" applyProtection="1">
      <protection locked="0"/>
    </xf>
    <xf numFmtId="4" fontId="37" fillId="9" borderId="0" xfId="0" applyNumberFormat="1" applyFont="1" applyFill="1" applyProtection="1">
      <protection locked="0"/>
    </xf>
    <xf numFmtId="0" fontId="37" fillId="9" borderId="0" xfId="0" applyFont="1" applyFill="1" applyProtection="1">
      <protection locked="0"/>
    </xf>
    <xf numFmtId="0" fontId="37" fillId="9" borderId="0" xfId="3" applyFont="1" applyFill="1" applyProtection="1">
      <protection locked="0"/>
    </xf>
    <xf numFmtId="0" fontId="38" fillId="9" borderId="0" xfId="0" applyFont="1" applyFill="1" applyProtection="1">
      <protection locked="0"/>
    </xf>
    <xf numFmtId="171" fontId="11" fillId="0" borderId="5" xfId="5" applyNumberFormat="1" applyFont="1" applyBorder="1" applyAlignment="1" applyProtection="1">
      <alignment horizontal="right" vertical="center" wrapText="1"/>
    </xf>
    <xf numFmtId="171" fontId="11" fillId="15" borderId="5" xfId="5" applyNumberFormat="1" applyFont="1" applyFill="1" applyBorder="1" applyAlignment="1" applyProtection="1">
      <alignment horizontal="right" vertical="center" wrapText="1"/>
    </xf>
    <xf numFmtId="0" fontId="34" fillId="16" borderId="7" xfId="0" applyFont="1" applyFill="1" applyBorder="1" applyAlignment="1" applyProtection="1">
      <alignment horizontal="center" vertical="center" wrapText="1"/>
      <protection locked="0"/>
    </xf>
    <xf numFmtId="0" fontId="24" fillId="16" borderId="7" xfId="0" applyFont="1" applyFill="1" applyBorder="1" applyAlignment="1" applyProtection="1">
      <alignment horizontal="center" vertical="center" wrapText="1"/>
      <protection locked="0"/>
    </xf>
    <xf numFmtId="0" fontId="4" fillId="17" borderId="7" xfId="0" applyFont="1" applyFill="1" applyBorder="1" applyAlignment="1" applyProtection="1">
      <alignment horizontal="center" vertical="center" wrapText="1"/>
      <protection locked="0"/>
    </xf>
    <xf numFmtId="0" fontId="4" fillId="18" borderId="26" xfId="0" applyFont="1" applyFill="1" applyBorder="1" applyAlignment="1" applyProtection="1">
      <alignment horizontal="center" vertical="center" wrapText="1"/>
      <protection locked="0"/>
    </xf>
    <xf numFmtId="0" fontId="10" fillId="0" borderId="5" xfId="0" applyFont="1" applyBorder="1"/>
    <xf numFmtId="167" fontId="0" fillId="0" borderId="5" xfId="6" applyFont="1" applyBorder="1" applyAlignment="1">
      <alignment vertical="center"/>
    </xf>
    <xf numFmtId="4" fontId="39" fillId="0" borderId="9" xfId="0" applyNumberFormat="1" applyFont="1" applyBorder="1" applyAlignment="1">
      <alignment horizontal="right"/>
    </xf>
    <xf numFmtId="1" fontId="40" fillId="0" borderId="5" xfId="0" applyNumberFormat="1" applyFont="1" applyBorder="1"/>
    <xf numFmtId="0" fontId="0" fillId="10" borderId="0" xfId="0" applyFill="1" applyAlignment="1">
      <alignment vertical="center" wrapText="1"/>
    </xf>
    <xf numFmtId="0" fontId="33" fillId="10" borderId="0" xfId="0" applyFont="1" applyFill="1"/>
    <xf numFmtId="0" fontId="16" fillId="10" borderId="0" xfId="0" applyFont="1" applyFill="1" applyAlignment="1">
      <alignment vertical="center" wrapText="1"/>
    </xf>
    <xf numFmtId="0" fontId="17" fillId="10" borderId="0" xfId="0" applyFont="1" applyFill="1" applyAlignment="1">
      <alignment horizontal="left" vertical="center" indent="4"/>
    </xf>
    <xf numFmtId="0" fontId="18" fillId="10" borderId="0" xfId="0" applyFont="1" applyFill="1" applyAlignment="1">
      <alignment horizontal="left" vertical="center" indent="4"/>
    </xf>
    <xf numFmtId="166" fontId="11" fillId="0" borderId="9" xfId="5" applyFont="1" applyBorder="1" applyAlignment="1">
      <alignment horizontal="center" vertical="center" wrapText="1"/>
    </xf>
    <xf numFmtId="0" fontId="32" fillId="10" borderId="0" xfId="0" applyFont="1" applyFill="1"/>
    <xf numFmtId="0" fontId="0" fillId="10" borderId="0" xfId="0" applyFill="1" applyAlignment="1">
      <alignment vertical="top" wrapText="1"/>
    </xf>
    <xf numFmtId="0" fontId="31" fillId="10" borderId="0" xfId="0" applyFont="1" applyFill="1" applyAlignment="1">
      <alignment vertical="center" wrapText="1"/>
    </xf>
    <xf numFmtId="0" fontId="30" fillId="10" borderId="0" xfId="0" applyFont="1" applyFill="1" applyAlignment="1">
      <alignment vertical="center" wrapText="1"/>
    </xf>
    <xf numFmtId="0" fontId="32" fillId="10" borderId="43" xfId="0" applyFont="1" applyFill="1" applyBorder="1"/>
    <xf numFmtId="0" fontId="32" fillId="10" borderId="5" xfId="0" applyFont="1" applyFill="1" applyBorder="1"/>
    <xf numFmtId="0" fontId="0" fillId="10" borderId="5" xfId="0" applyFill="1" applyBorder="1"/>
    <xf numFmtId="166" fontId="5" fillId="0" borderId="9" xfId="5" applyFont="1" applyBorder="1" applyAlignment="1">
      <alignment horizontal="center" vertical="center" wrapText="1"/>
    </xf>
    <xf numFmtId="166" fontId="0" fillId="0" borderId="9" xfId="5" applyFont="1" applyBorder="1" applyAlignment="1">
      <alignment horizontal="center" vertical="center" wrapText="1"/>
    </xf>
    <xf numFmtId="0" fontId="0" fillId="10" borderId="0" xfId="0" applyFill="1" applyAlignment="1">
      <alignment wrapText="1"/>
    </xf>
    <xf numFmtId="0" fontId="0" fillId="10" borderId="0" xfId="0" applyFill="1" applyAlignment="1">
      <alignment horizontal="right"/>
    </xf>
    <xf numFmtId="0" fontId="19" fillId="10" borderId="0" xfId="0" applyFont="1" applyFill="1" applyAlignment="1">
      <alignment wrapText="1"/>
    </xf>
    <xf numFmtId="0" fontId="13" fillId="10" borderId="0" xfId="0" applyFont="1" applyFill="1" applyAlignment="1">
      <alignment wrapText="1"/>
    </xf>
    <xf numFmtId="0" fontId="20" fillId="10" borderId="0" xfId="0" applyFont="1" applyFill="1"/>
    <xf numFmtId="166" fontId="10" fillId="0" borderId="9" xfId="5" applyFont="1" applyBorder="1" applyAlignment="1">
      <alignment horizontal="center" vertical="center" wrapText="1"/>
    </xf>
    <xf numFmtId="0" fontId="5" fillId="10" borderId="0" xfId="0" applyFont="1" applyFill="1"/>
    <xf numFmtId="0" fontId="5" fillId="0" borderId="3" xfId="0" applyFont="1" applyBorder="1" applyAlignment="1">
      <alignment horizontal="center" vertical="center" wrapText="1"/>
    </xf>
    <xf numFmtId="0" fontId="26" fillId="0" borderId="7" xfId="0" applyFont="1" applyBorder="1" applyAlignment="1">
      <alignment horizontal="center" vertical="center" wrapText="1"/>
    </xf>
    <xf numFmtId="0" fontId="5" fillId="0" borderId="7" xfId="0" applyFont="1" applyBorder="1"/>
    <xf numFmtId="0" fontId="5" fillId="0" borderId="26" xfId="0" applyFont="1" applyBorder="1"/>
    <xf numFmtId="9" fontId="5" fillId="0" borderId="5" xfId="2" applyFont="1" applyBorder="1" applyAlignment="1">
      <alignment horizontal="right" vertical="center" wrapText="1"/>
    </xf>
    <xf numFmtId="4" fontId="0" fillId="0" borderId="5" xfId="0" applyNumberFormat="1" applyBorder="1" applyAlignment="1">
      <alignment horizontal="right" wrapText="1"/>
    </xf>
    <xf numFmtId="0" fontId="0" fillId="0" borderId="8" xfId="0" applyBorder="1" applyAlignment="1">
      <alignment wrapText="1"/>
    </xf>
    <xf numFmtId="9" fontId="5" fillId="0" borderId="5" xfId="0" applyNumberFormat="1" applyFont="1" applyBorder="1" applyAlignment="1">
      <alignment horizontal="right" wrapText="1"/>
    </xf>
    <xf numFmtId="166" fontId="0" fillId="0" borderId="5" xfId="5" applyFont="1" applyBorder="1" applyAlignment="1">
      <alignment horizontal="right"/>
    </xf>
    <xf numFmtId="0" fontId="32" fillId="12" borderId="0" xfId="0" applyFont="1" applyFill="1" applyAlignment="1">
      <alignment horizontal="center"/>
    </xf>
    <xf numFmtId="0" fontId="32" fillId="11" borderId="29" xfId="0" applyFont="1" applyFill="1" applyBorder="1" applyAlignment="1">
      <alignment horizontal="center"/>
    </xf>
    <xf numFmtId="0" fontId="32" fillId="11" borderId="0" xfId="0" applyFont="1" applyFill="1" applyAlignment="1">
      <alignment horizontal="center"/>
    </xf>
    <xf numFmtId="0" fontId="29" fillId="9" borderId="0" xfId="0" applyFont="1" applyFill="1" applyAlignment="1" applyProtection="1">
      <alignment horizontal="center"/>
      <protection locked="0"/>
    </xf>
    <xf numFmtId="0" fontId="41" fillId="9" borderId="0" xfId="0" applyFont="1" applyFill="1" applyAlignment="1" applyProtection="1">
      <alignment horizontal="left" vertical="center"/>
      <protection locked="0"/>
    </xf>
    <xf numFmtId="0" fontId="32" fillId="12" borderId="44" xfId="0" applyFont="1" applyFill="1" applyBorder="1" applyAlignment="1">
      <alignment horizontal="center"/>
    </xf>
    <xf numFmtId="0" fontId="32" fillId="11" borderId="44" xfId="0" applyFont="1" applyFill="1" applyBorder="1" applyAlignment="1">
      <alignment horizontal="center"/>
    </xf>
    <xf numFmtId="0" fontId="32" fillId="11" borderId="3" xfId="0" applyFont="1" applyFill="1" applyBorder="1" applyAlignment="1">
      <alignment horizontal="center"/>
    </xf>
    <xf numFmtId="0" fontId="32" fillId="12" borderId="31" xfId="0" applyFont="1" applyFill="1" applyBorder="1" applyAlignment="1">
      <alignment horizontal="center"/>
    </xf>
    <xf numFmtId="0" fontId="32" fillId="12" borderId="4" xfId="0" applyFont="1" applyFill="1" applyBorder="1" applyAlignment="1">
      <alignment horizontal="center"/>
    </xf>
    <xf numFmtId="0" fontId="32" fillId="11" borderId="36" xfId="0" applyFont="1" applyFill="1" applyBorder="1" applyAlignment="1">
      <alignment horizontal="center"/>
    </xf>
    <xf numFmtId="0" fontId="32" fillId="11" borderId="41" xfId="0" applyFont="1" applyFill="1" applyBorder="1" applyAlignment="1">
      <alignment horizontal="center"/>
    </xf>
    <xf numFmtId="0" fontId="32" fillId="11" borderId="45" xfId="0" applyFont="1" applyFill="1" applyBorder="1" applyAlignment="1">
      <alignment horizontal="center"/>
    </xf>
    <xf numFmtId="0" fontId="0" fillId="10" borderId="0" xfId="0" applyFill="1" applyBorder="1"/>
    <xf numFmtId="0" fontId="14" fillId="6" borderId="24" xfId="0" applyFont="1" applyFill="1" applyBorder="1" applyAlignment="1">
      <alignment vertical="top" wrapText="1"/>
    </xf>
    <xf numFmtId="0" fontId="13" fillId="6" borderId="1" xfId="0" applyFont="1" applyFill="1" applyBorder="1" applyAlignment="1">
      <alignment vertical="top" wrapText="1"/>
    </xf>
    <xf numFmtId="0" fontId="13" fillId="6" borderId="25" xfId="0" applyFont="1" applyFill="1" applyBorder="1" applyAlignment="1">
      <alignment vertical="top" wrapText="1"/>
    </xf>
    <xf numFmtId="0" fontId="19" fillId="10" borderId="0" xfId="0" applyFont="1" applyFill="1" applyAlignment="1">
      <alignment vertical="top" wrapText="1"/>
    </xf>
    <xf numFmtId="0" fontId="14" fillId="10" borderId="0" xfId="0" applyFont="1" applyFill="1" applyAlignment="1">
      <alignment vertical="top" wrapText="1"/>
    </xf>
    <xf numFmtId="0" fontId="13" fillId="10" borderId="0" xfId="0" applyFont="1" applyFill="1" applyAlignment="1">
      <alignment vertical="top" wrapText="1"/>
    </xf>
    <xf numFmtId="0" fontId="0" fillId="19" borderId="0" xfId="0" applyFill="1"/>
    <xf numFmtId="0" fontId="21" fillId="10" borderId="0" xfId="0" applyFont="1" applyFill="1" applyBorder="1" applyAlignment="1">
      <alignment vertical="center"/>
    </xf>
  </cellXfs>
  <cellStyles count="7">
    <cellStyle name="Currency" xfId="5" xr:uid="{185DF9E3-B083-474B-8E89-54F33DEAF643}"/>
    <cellStyle name="Hyperlink 2" xfId="4" xr:uid="{EC0F817B-3182-4569-990E-AC7FA18A4FED}"/>
    <cellStyle name="Komma" xfId="6" builtinId="3"/>
    <cellStyle name="Percent" xfId="2" xr:uid="{8BC4DBD8-9537-462B-9638-4D83DD0FC5A4}"/>
    <cellStyle name="Standaard" xfId="0" builtinId="0"/>
    <cellStyle name="Standaard 2" xfId="1" xr:uid="{00000000-0005-0000-0000-000001000000}"/>
    <cellStyle name="Standaard 3" xfId="3" xr:uid="{8F4B07E2-56A7-4E9B-86E9-1C488DCF8383}"/>
  </cellStyles>
  <dxfs count="53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sz val="11"/>
        <color theme="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theme="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font>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color theme="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166" formatCode="_ &quot;€&quot;\ * #,##0.00_ ;_ &quot;€&quot;\ * \-#,##0.00_ ;_ &quot;€&quot;\ * &quot;-&quot;??_ ;_ @_ "/>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4" formatCode="#,##0.00"/>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auto="1"/>
        <name val="Calibri"/>
        <family val="2"/>
        <scheme val="min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numFmt numFmtId="0" formatCode="General"/>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strike val="0"/>
        <outline val="0"/>
        <shadow val="0"/>
        <u val="none"/>
        <vertAlign val="baseline"/>
        <sz val="11"/>
        <name val="Calibri"/>
        <family val="2"/>
        <scheme val="minor"/>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dxf>
    <dxf>
      <border>
        <bottom style="medium">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000000"/>
          <bgColor rgb="FF196B24"/>
        </patternFill>
      </fill>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000000"/>
          <bgColor rgb="FF196B24"/>
        </patternFill>
      </fill>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 formatCode="#,##0"/>
      <alignment horizontal="right" vertical="center" textRotation="0" wrapText="1"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13" formatCode="0%"/>
      <alignment horizontal="right" vertical="center" textRotation="0" wrapText="1"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3" formatCode="#,##0"/>
      <alignment horizontal="right" vertical="center" textRotation="0" wrapText="1" indent="0" justifyLastLine="0" shrinkToFit="0" readingOrder="0"/>
      <border diagonalUp="0" diagonalDown="0">
        <left/>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left/>
        <right/>
        <top style="thin">
          <color theme="1"/>
        </top>
        <bottom style="thin">
          <color theme="1"/>
        </bottom>
        <vertical/>
        <horizontal/>
      </border>
    </dxf>
    <dxf>
      <border outline="0">
        <top style="thin">
          <color theme="1"/>
        </top>
      </border>
    </dxf>
    <dxf>
      <border outline="0">
        <left style="thin">
          <color theme="1"/>
        </left>
        <top style="thin">
          <color theme="1"/>
        </top>
        <bottom style="thin">
          <color theme="1"/>
        </bottom>
      </border>
    </dxf>
    <dxf>
      <font>
        <b val="0"/>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border outline="0">
        <bottom style="thin">
          <color theme="1"/>
        </bottom>
      </border>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font>
        <b val="0"/>
        <strike val="0"/>
        <outline val="0"/>
        <shadow val="0"/>
        <u val="none"/>
        <vertAlign val="baseline"/>
        <sz val="11"/>
        <color auto="1"/>
        <name val="Calibri"/>
        <family val="2"/>
        <scheme val="minor"/>
      </font>
      <numFmt numFmtId="4" formatCode="#,##0.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numFmt numFmtId="4" formatCode="#,##0.00"/>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numFmt numFmtId="4" formatCode="#,##0.00"/>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3" formatCode="0%"/>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11"/>
        <name val="Calibri"/>
        <family val="2"/>
        <scheme val="minor"/>
      </font>
      <numFmt numFmtId="0" formatCode="General"/>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0" formatCode="General"/>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3" formatCode="0%"/>
      <alignment horizontal="righ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3" formatCode="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 formatCode="0"/>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 formatCode="0"/>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 formatCode="0"/>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1"/>
        <name val="Calibri"/>
        <family val="2"/>
        <scheme val="minor"/>
      </font>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11"/>
        <name val="Calibri"/>
        <family val="2"/>
        <scheme val="minor"/>
      </font>
      <numFmt numFmtId="0" formatCode="General"/>
      <fill>
        <patternFill patternType="none">
          <fgColor indexed="64"/>
          <bgColor auto="1"/>
        </patternFill>
      </fill>
      <alignment horizontal="righ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alignment horizontal="righ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alignment horizontal="righ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alignment horizontal="right" textRotation="0" wrapText="1" indent="0" justifyLastLine="0" shrinkToFit="0" readingOrder="0"/>
      <border diagonalUp="0" diagonalDown="0" outline="0">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font>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font>
        <b val="0"/>
        <strike val="0"/>
        <outline val="0"/>
        <shadow val="0"/>
        <u val="none"/>
        <vertAlign val="baseline"/>
        <sz val="11"/>
        <name val="Calibri"/>
        <family val="2"/>
        <scheme val="minor"/>
      </font>
      <fill>
        <patternFill patternType="none">
          <fgColor indexed="64"/>
          <bgColor auto="1"/>
        </patternFill>
      </fill>
    </dxf>
    <dxf>
      <font>
        <strike val="0"/>
        <outline val="0"/>
        <shadow val="0"/>
        <u val="none"/>
        <vertAlign val="baseline"/>
        <sz val="11"/>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000000"/>
          <bgColor rgb="FF196B24"/>
        </patternFill>
      </fill>
      <alignment horizontal="center" vertical="bottom"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theme="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quot;€&quot;\ #,##0.00;[Red]&quot;€&quot;\ \-#,##0.00"/>
      <alignment horizontal="right" vertical="center" textRotation="0" wrapText="1" indent="0" justifyLastLine="0" shrinkToFit="0" readingOrder="0"/>
    </dxf>
    <dxf>
      <font>
        <b val="0"/>
      </font>
      <numFmt numFmtId="13" formatCode="0%"/>
      <alignment horizontal="right" vertical="center" textRotation="0" wrapText="1" indent="0" justifyLastLine="0" shrinkToFit="0" readingOrder="0"/>
    </dxf>
    <dxf>
      <font>
        <b val="0"/>
      </font>
      <numFmt numFmtId="165" formatCode="&quot;€&quot;\ #,##0.00;[Red]&quot;€&quot;\ \-#,##0.00"/>
      <alignment horizontal="right" vertical="center" textRotation="0" wrapText="1" indent="0" justifyLastLine="0" shrinkToFit="0" readingOrder="0"/>
    </dxf>
    <dxf>
      <font>
        <b val="0"/>
      </font>
      <alignment horizontal="general" vertical="center" textRotation="0" wrapText="1" indent="0" justifyLastLine="0" shrinkToFit="0" readingOrder="0"/>
    </dxf>
    <dxf>
      <font>
        <b val="0"/>
      </font>
    </dxf>
    <dxf>
      <font>
        <b val="0"/>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font>
        <b val="0"/>
        <strike val="0"/>
        <outline val="0"/>
        <shadow val="0"/>
        <u val="none"/>
        <vertAlign val="baseline"/>
        <sz val="11"/>
        <name val="Calibri"/>
        <family val="2"/>
        <scheme val="minor"/>
      </font>
    </dxf>
    <dxf>
      <font>
        <b val="0"/>
        <strike val="0"/>
        <outline val="0"/>
        <shadow val="0"/>
        <u val="none"/>
        <vertAlign val="baseline"/>
        <sz val="11"/>
        <color theme="1"/>
        <name val="Calibri"/>
        <family val="2"/>
        <scheme val="minor"/>
      </font>
      <numFmt numFmtId="166" formatCode="_ &quot;€&quot;\ * #,##0.00_ ;_ &quot;€&quot;\ * \-#,##0.00_ ;_ &quot;€&quot;\ * &quot;-&quot;??_ ;_ @_ "/>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name val="Calibri"/>
        <family val="2"/>
        <scheme val="minor"/>
      </font>
    </dxf>
    <dxf>
      <font>
        <b val="0"/>
        <strike val="0"/>
        <outline val="0"/>
        <shadow val="0"/>
        <u val="none"/>
        <vertAlign val="baseline"/>
        <sz val="11"/>
        <color theme="1"/>
        <name val="Calibri"/>
        <family val="2"/>
        <scheme val="minor"/>
      </font>
      <numFmt numFmtId="166" formatCode="_ &quot;€&quot;\ * #,##0.00_ ;_ &quot;€&quot;\ * \-#,##0.00_ ;_ &quot;€&quot;\ * &quot;-&quot;??_ ;_ @_ "/>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name val="Calibri"/>
        <family val="2"/>
        <scheme val="minor"/>
      </font>
    </dxf>
    <dxf>
      <font>
        <b val="0"/>
        <strike val="0"/>
        <outline val="0"/>
        <shadow val="0"/>
        <u val="none"/>
        <vertAlign val="baseline"/>
        <sz val="11"/>
        <color theme="1"/>
        <name val="Calibri"/>
        <family val="2"/>
        <scheme val="minor"/>
      </font>
      <numFmt numFmtId="4"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1"/>
        <name val="Calibri"/>
        <family val="2"/>
        <scheme val="minor"/>
      </font>
    </dxf>
    <dxf>
      <font>
        <b/>
        <i/>
        <strike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style="thin">
          <color indexed="64"/>
        </left>
        <right style="medium">
          <color indexed="64"/>
        </right>
        <top style="thin">
          <color indexed="64"/>
        </top>
        <bottom style="thin">
          <color indexed="64"/>
        </bottom>
      </border>
    </dxf>
    <dxf>
      <font>
        <b val="0"/>
        <strike val="0"/>
        <outline val="0"/>
        <shadow val="0"/>
        <u val="none"/>
        <vertAlign val="baseline"/>
        <sz val="11"/>
        <name val="Calibri"/>
        <family val="2"/>
        <scheme val="minor"/>
      </font>
    </dxf>
    <dxf>
      <font>
        <b val="0"/>
        <strike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name val="Calibri"/>
        <family val="2"/>
        <scheme val="minor"/>
      </font>
    </dxf>
    <dxf>
      <font>
        <b val="0"/>
        <strike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color theme="1"/>
        <name val="Calibri"/>
        <family val="2"/>
        <scheme val="minor"/>
      </font>
      <fill>
        <patternFill patternType="solid">
          <fgColor indexed="64"/>
          <bgColor theme="6" tint="0.79998168889431442"/>
        </patternFill>
      </fill>
      <border diagonalUp="0" diagonalDown="0" outline="0">
        <left style="thin">
          <color indexed="64"/>
        </left>
        <right style="thin">
          <color indexed="64"/>
        </right>
        <top style="thin">
          <color indexed="64"/>
        </top>
        <bottom style="thin">
          <color indexed="64"/>
        </bottom>
      </border>
    </dxf>
    <dxf>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name val="Calibri"/>
        <family val="2"/>
        <scheme val="minor"/>
      </font>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Calibri"/>
        <family val="2"/>
        <scheme val="minor"/>
      </font>
      <fill>
        <patternFill patternType="none">
          <fgColor indexed="64"/>
          <bgColor auto="1"/>
        </patternFill>
      </fill>
    </dxf>
    <dxf>
      <border>
        <bottom style="thin">
          <color indexed="64"/>
        </bottom>
      </border>
    </dxf>
    <dxf>
      <font>
        <b val="0"/>
        <strike val="0"/>
        <outline val="0"/>
        <shadow val="0"/>
        <u val="none"/>
        <vertAlign val="baseline"/>
        <sz val="11"/>
        <name val="Calibri"/>
        <family val="2"/>
        <scheme val="minor"/>
      </font>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000000"/>
          <bgColor rgb="FF196B24"/>
        </patternFill>
      </fill>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font>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bottom" textRotation="0" wrapText="1" indent="0" justifyLastLine="0" shrinkToFit="0" readingOrder="0"/>
    </dxf>
    <dxf>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numFmt numFmtId="169" formatCode="_ [$€-413]\ * #,##0.00_ ;_ [$€-413]\ * \-#,##0.00_ ;_ [$€-413]\ * &quot;-&quot;??_ ;_ @_ "/>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font>
        <strike val="0"/>
        <outline val="0"/>
        <shadow val="0"/>
        <u val="none"/>
        <vertAlign val="baseline"/>
        <sz val="11"/>
        <name val="Calibri"/>
        <family val="2"/>
        <scheme val="minor"/>
      </font>
      <numFmt numFmtId="166" formatCode="_ &quot;€&quot;\ * #,##0.00_ ;_ &quot;€&quot;\ * \-#,##0.00_ ;_ &quot;€&quot;\ * &quot;-&quot;??_ ;_ @_ "/>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numFmt numFmtId="166" formatCode="_ &quot;€&quot;\ * #,##0.00_ ;_ &quot;€&quot;\ * \-#,##0.00_ ;_ &quot;€&quot;\ * &quot;-&quot;??_ ;_ @_ "/>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72" formatCode="0.000"/>
      <alignment horizontal="general" vertical="bottom"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medium">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79998168889431442"/>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auto="1"/>
        <name val="Calibri"/>
        <family val="2"/>
        <scheme val="minor"/>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border diagonalUp="0" diagonalDown="0" outline="0">
        <left/>
        <right style="thin">
          <color indexed="64"/>
        </right>
        <top style="thin">
          <color indexed="64"/>
        </top>
        <bottom style="thin">
          <color indexed="64"/>
        </bottom>
      </border>
    </dxf>
    <dxf>
      <font>
        <b/>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dxf>
    <dxf>
      <border>
        <bottom style="thin">
          <color indexed="64"/>
        </bottom>
      </border>
    </dxf>
    <dxf>
      <font>
        <strike val="0"/>
        <outline val="0"/>
        <shadow val="0"/>
        <u val="none"/>
        <vertAlign val="baseline"/>
        <sz val="11"/>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1"/>
        <color rgb="FFFFFFFF"/>
        <name val="Calibri"/>
        <family val="2"/>
        <scheme val="minor"/>
      </font>
      <fill>
        <patternFill patternType="solid">
          <fgColor rgb="FF000000"/>
          <bgColor rgb="FF196B24"/>
        </patternFill>
      </fill>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font>
      <fill>
        <patternFill patternType="none">
          <fgColor indexed="64"/>
          <bgColor auto="1"/>
        </patternFill>
      </fill>
      <alignment horizontal="general" vertical="top" textRotation="0" wrapText="1" indent="0" justifyLastLine="0" shrinkToFit="0" readingOrder="0"/>
    </dxf>
    <dxf>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top" textRotation="0" wrapText="1" indent="0" justifyLastLine="0" shrinkToFit="0" readingOrder="0"/>
    </dxf>
    <dxf>
      <alignment horizontal="right" vertical="top" textRotation="0" wrapText="1" indent="0" justifyLastLine="0" shrinkToFit="0" readingOrder="0"/>
    </dxf>
    <dxf>
      <numFmt numFmtId="13" formatCode="0%"/>
      <alignment horizontal="right" vertical="top" textRotation="0" wrapText="1" indent="0" justifyLastLine="0" shrinkToFit="0" readingOrder="0"/>
    </dxf>
    <dxf>
      <numFmt numFmtId="169" formatCode="_ [$€-413]\ * #,##0.00_ ;_ [$€-413]\ * \-#,##0.00_ ;_ [$€-413]\ * &quot;-&quot;??_ ;_ @_ "/>
      <alignment horizontal="right" vertical="top" textRotation="0" wrapText="1" indent="0" justifyLastLine="0" shrinkToFit="0" readingOrder="0"/>
    </dxf>
    <dxf>
      <alignment horizontal="general"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font>
        <b/>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166" formatCode="_ &quot;€&quot;\ * #,##0.00_ ;_ &quot;€&quot;\ * \-#,##0.00_ ;_ &quot;€&quot;\ * &quot;-&quot;??_ ;_ @_ "/>
      <fill>
        <patternFill patternType="none">
          <fgColor indexed="64"/>
          <bgColor auto="1"/>
        </patternFill>
      </fill>
      <border diagonalUp="0" diagonalDown="0">
        <left style="thin">
          <color indexed="64"/>
        </left>
        <right/>
        <top style="thin">
          <color indexed="64"/>
        </top>
        <bottom style="thin">
          <color indexed="64"/>
        </bottom>
      </border>
    </dxf>
    <dxf>
      <font>
        <b val="0"/>
        <strike val="0"/>
        <outline val="0"/>
        <shadow val="0"/>
        <u val="none"/>
        <vertAlign val="baseline"/>
        <sz val="11"/>
        <name val="Calibri"/>
        <family val="2"/>
        <scheme val="minor"/>
      </font>
      <numFmt numFmtId="4" formatCode="#,##0.00"/>
      <fill>
        <patternFill patternType="none">
          <fgColor indexed="64"/>
          <bgColor auto="1"/>
        </patternFill>
      </fill>
      <border diagonalUp="0" diagonalDown="0" outline="0">
        <left/>
        <right style="thin">
          <color indexed="64"/>
        </right>
        <top style="thin">
          <color indexed="64"/>
        </top>
        <bottom style="thin">
          <color indexed="64"/>
        </bottom>
      </border>
    </dxf>
    <dxf>
      <font>
        <b/>
        <i/>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font>
      <numFmt numFmtId="0" formatCode="Genera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numFmt numFmtId="1"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numFmt numFmtId="1"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numFmt numFmtId="1"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font>
      <border diagonalUp="0" diagonalDown="0" outline="0">
        <left style="thin">
          <color indexed="64"/>
        </left>
        <right style="thin">
          <color indexed="64"/>
        </right>
        <top style="thin">
          <color indexed="64"/>
        </top>
        <bottom style="thin">
          <color indexed="64"/>
        </bottom>
      </border>
    </dxf>
    <dxf>
      <font>
        <b val="0"/>
      </font>
      <border diagonalUp="0" diagonalDown="0" outline="0">
        <left style="thin">
          <color indexed="64"/>
        </left>
        <right style="thin">
          <color indexed="64"/>
        </right>
        <top style="thin">
          <color indexed="64"/>
        </top>
        <bottom style="thin">
          <color indexed="64"/>
        </bottom>
      </border>
    </dxf>
    <dxf>
      <font>
        <b val="0"/>
      </font>
      <border diagonalUp="0" diagonalDown="0" outline="0">
        <left style="thin">
          <color indexed="64"/>
        </left>
        <right style="thin">
          <color indexed="64"/>
        </right>
        <top style="thin">
          <color indexed="64"/>
        </top>
        <bottom style="thin">
          <color indexed="64"/>
        </bottom>
      </border>
    </dxf>
    <dxf>
      <font>
        <b val="0"/>
      </font>
      <border diagonalUp="0" diagonalDown="0" outline="0">
        <left style="medium">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numFmt numFmtId="0" formatCode="General"/>
      <fill>
        <patternFill patternType="solid">
          <fgColor indexed="64"/>
          <bgColor theme="6" tint="0.79998168889431442"/>
        </patternFill>
      </fill>
      <border diagonalUp="0" diagonalDown="0">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name val="Calibri"/>
        <family val="2"/>
        <scheme val="minor"/>
      </font>
      <numFmt numFmtId="13" formatCode="0%"/>
      <fill>
        <patternFill patternType="none">
          <fgColor indexed="64"/>
          <bgColor auto="1"/>
        </patternFill>
      </fill>
      <alignment horizontal="right" vertical="bottom" textRotation="0"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scheme val="minor"/>
      </font>
      <fill>
        <patternFill patternType="none">
          <fgColor indexed="64"/>
          <bgColor auto="1"/>
        </patternFill>
      </fill>
    </dxf>
    <dxf>
      <border>
        <bottom style="medium">
          <color indexed="64"/>
        </bottom>
      </border>
    </dxf>
    <dxf>
      <font>
        <b val="0"/>
        <strike val="0"/>
        <outline val="0"/>
        <shadow val="0"/>
        <u val="none"/>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theme="1"/>
        <name val="Calibri"/>
        <scheme val="none"/>
      </font>
      <numFmt numFmtId="170" formatCode="\€\ #,##0.00;[Red]\-\€\ #,##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border diagonalUp="0" diagonalDown="0">
        <left style="thin">
          <color indexed="64"/>
        </left>
        <right/>
        <top style="thin">
          <color indexed="64"/>
        </top>
        <bottom style="thin">
          <color indexed="64"/>
        </bottom>
      </border>
      <protection locked="1" hidden="0"/>
    </dxf>
    <dxf>
      <numFmt numFmtId="4"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4" formatCode="#,##0.0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4" formatCode="#,##0.0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4" formatCode="#,##0.0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border>
      <protection locked="0" hidden="0"/>
    </dxf>
    <dxf>
      <fill>
        <patternFill patternType="none">
          <fgColor indexed="64"/>
          <bgColor auto="1"/>
        </patternFill>
      </fill>
      <border diagonalUp="0" diagonalDown="0">
        <left style="thin">
          <color indexed="64"/>
        </left>
        <right/>
        <top style="thin">
          <color indexed="64"/>
        </top>
        <bottom style="thin">
          <color indexed="64"/>
        </bottom>
      </border>
      <protection locked="1" hidden="0"/>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border diagonalUp="0" diagonalDown="0">
        <left style="thin">
          <color indexed="64"/>
        </left>
        <right/>
        <top style="thin">
          <color indexed="64"/>
        </top>
        <bottom style="thin">
          <color indexed="64"/>
        </bottom>
      </border>
      <protection locked="1" hidden="0"/>
    </dxf>
    <dxf>
      <numFmt numFmtId="4"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2"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2"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2"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border>
      <protection locked="0" hidden="0"/>
    </dxf>
    <dxf>
      <fill>
        <patternFill patternType="none">
          <fgColor indexed="64"/>
          <bgColor auto="1"/>
        </patternFill>
      </fill>
      <border diagonalUp="0" diagonalDown="0">
        <left style="thin">
          <color indexed="64"/>
        </left>
        <right/>
        <top style="thin">
          <color indexed="64"/>
        </top>
        <bottom style="thin">
          <color indexed="64"/>
        </bottom>
      </border>
      <protection locked="1" hidden="0"/>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theme="1"/>
        <name val="Calibri"/>
        <scheme val="none"/>
      </font>
      <numFmt numFmtId="170" formatCode="\€\ #,##0.00;[Red]\-\€\ #,##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border diagonalUp="0" diagonalDown="0">
        <left style="thin">
          <color indexed="64"/>
        </left>
        <right/>
        <top style="thin">
          <color indexed="64"/>
        </top>
        <bottom style="thin">
          <color indexed="64"/>
        </bottom>
      </border>
      <protection locked="1" hidden="0"/>
    </dxf>
    <dxf>
      <numFmt numFmtId="4" formatCode="#,##0.0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4" formatCode="#,##0.00"/>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4" formatCode="#,##0.00"/>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0" formatCode="General"/>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border>
      <protection locked="0" hidden="0"/>
    </dxf>
    <dxf>
      <fill>
        <patternFill patternType="none">
          <fgColor indexed="64"/>
          <bgColor auto="1"/>
        </patternFill>
      </fill>
      <border diagonalUp="0" diagonalDown="0">
        <left style="thin">
          <color indexed="64"/>
        </left>
        <right/>
        <top style="thin">
          <color indexed="64"/>
        </top>
        <bottom style="thin">
          <color indexed="64"/>
        </bottom>
      </border>
      <protection locked="1" hidden="0"/>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theme="1"/>
        <name val="Calibri"/>
        <scheme val="none"/>
      </font>
      <numFmt numFmtId="170" formatCode="\€\ #,##0.00;[Red]\-\€\ #,##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166" formatCode="_ &quot;€&quot;\ * #,##0.00_ ;_ &quot;€&quot;\ * \-#,##0.00_ ;_ &quot;€&quot;\ * &quot;-&quot;??_ ;_ @_ "/>
      <fill>
        <patternFill patternType="none">
          <fgColor indexed="64"/>
          <bgColor auto="1"/>
        </patternFill>
      </fill>
      <border diagonalUp="0" diagonalDown="0">
        <left style="thin">
          <color indexed="64"/>
        </left>
        <right/>
        <top style="thin">
          <color indexed="64"/>
        </top>
        <bottom style="thin">
          <color indexed="64"/>
        </bottom>
      </border>
      <protection locked="1" hidden="0"/>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4" formatCode="#,##0.00"/>
      <fill>
        <patternFill patternType="none">
          <fgColor indexed="64"/>
          <bgColor indexed="65"/>
        </patternFill>
      </fill>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Calibri"/>
        <family val="2"/>
        <scheme val="minor"/>
      </font>
      <border diagonalUp="0" diagonalDown="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top style="thin">
          <color indexed="64"/>
        </top>
        <bottom style="thin">
          <color indexed="64"/>
        </bottom>
      </border>
      <protection locked="0" hidden="0"/>
    </dxf>
    <dxf>
      <fill>
        <patternFill patternType="none">
          <fgColor indexed="64"/>
          <bgColor auto="1"/>
        </patternFill>
      </fill>
      <border diagonalUp="0" diagonalDown="0">
        <left style="thin">
          <color indexed="64"/>
        </left>
        <right/>
        <top style="thin">
          <color indexed="64"/>
        </top>
        <bottom style="thin">
          <color indexed="64"/>
        </bottom>
      </border>
      <protection locked="1" hidden="0"/>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scheme val="none"/>
      </font>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alignment horizontal="right"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scheme val="none"/>
      </font>
      <numFmt numFmtId="171" formatCode="&quot;€&quot;\ #,##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protection locked="1" hidden="0"/>
    </dxf>
    <dxf>
      <numFmt numFmtId="4" formatCode="#,##0.0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1"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1" formatCode="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scheme val="none"/>
      </font>
      <numFmt numFmtId="1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2" formatCode="0.00"/>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rgb="FF000000"/>
        <name val="Calibri"/>
        <family val="2"/>
        <scheme val="minor"/>
      </font>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scheme val="none"/>
      </font>
      <numFmt numFmtId="2"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none">
          <fgColor indexed="64"/>
          <bgColor auto="1"/>
        </patternFill>
      </fill>
      <protection locked="0" hidden="0"/>
    </dxf>
    <dxf>
      <border>
        <bottom style="thin">
          <color indexed="64"/>
        </bottom>
      </border>
    </dxf>
    <dxf>
      <font>
        <b/>
        <i val="0"/>
        <strike val="0"/>
        <condense val="0"/>
        <extend val="0"/>
        <outline val="0"/>
        <shadow val="0"/>
        <u val="none"/>
        <vertAlign val="baseline"/>
        <sz val="11"/>
        <color rgb="FFFFFFFF"/>
        <name val="Calibri"/>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0" hidden="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13" formatCode="0%"/>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dxf>
    <dxf>
      <font>
        <b/>
        <i val="0"/>
        <strike val="0"/>
        <condense val="0"/>
        <extend val="0"/>
        <outline val="0"/>
        <shadow val="0"/>
        <u val="none"/>
        <vertAlign val="baseline"/>
        <sz val="11"/>
        <color rgb="FFFFFFFF"/>
        <name val="Calibri"/>
        <scheme val="none"/>
      </font>
      <fill>
        <patternFill patternType="none">
          <fgColor indexed="64"/>
          <bgColor auto="1"/>
        </patternFill>
      </fill>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numFmt numFmtId="165" formatCode="&quot;€&quot;\ #,##0.00;[Red]&quot;€&quot;\ \-#,##0.00"/>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numFmt numFmtId="164" formatCode="&quot;€&quot;\ #,##0;[Red]&quot;€&quot;\ \-#,##0"/>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numFmt numFmtId="4" formatCode="#,##0.00"/>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none">
          <fgColor indexed="64"/>
          <bgColor auto="1"/>
        </patternFill>
      </fill>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1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1"/>
        <name val="Calibri"/>
        <family val="2"/>
        <scheme val="minor"/>
      </font>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alignment horizontal="righ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theme="1"/>
        <name val="Calibri"/>
        <family val="2"/>
        <scheme val="minor"/>
      </font>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Calibri"/>
        <family val="2"/>
        <scheme val="minor"/>
      </font>
      <fill>
        <patternFill patternType="none">
          <fgColor indexed="64"/>
          <bgColor auto="1"/>
        </patternFill>
      </fill>
    </dxf>
    <dxf>
      <border>
        <bottom style="thin">
          <color indexed="64"/>
        </bottom>
      </border>
    </dxf>
    <dxf>
      <font>
        <b/>
        <strike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ont>
        <color theme="9"/>
      </font>
    </dxf>
  </dxfs>
  <tableStyles count="1" defaultTableStyle="TableStyleMedium2" defaultPivotStyle="PivotStyleLight16">
    <tableStyle name="Tabelstijl 1" pivot="0" count="1" xr9:uid="{44241DCD-D9BE-0C46-9F79-C94B83B59E8C}">
      <tableStyleElement type="wholeTable" dxfId="5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29845</xdr:colOff>
      <xdr:row>0</xdr:row>
      <xdr:rowOff>28786</xdr:rowOff>
    </xdr:from>
    <xdr:to>
      <xdr:col>5</xdr:col>
      <xdr:colOff>11906</xdr:colOff>
      <xdr:row>32</xdr:row>
      <xdr:rowOff>0</xdr:rowOff>
    </xdr:to>
    <xdr:sp macro="" textlink="">
      <xdr:nvSpPr>
        <xdr:cNvPr id="105" name="Tekstvak 2">
          <a:extLst>
            <a:ext uri="{FF2B5EF4-FFF2-40B4-BE49-F238E27FC236}">
              <a16:creationId xmlns:a16="http://schemas.microsoft.com/office/drawing/2014/main" id="{7C5FEFE2-F215-6129-C5AB-5B4CACCA4F02}"/>
            </a:ext>
          </a:extLst>
        </xdr:cNvPr>
        <xdr:cNvSpPr txBox="1"/>
      </xdr:nvSpPr>
      <xdr:spPr>
        <a:xfrm>
          <a:off x="29845" y="28786"/>
          <a:ext cx="11769249" cy="7364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L" sz="1600" b="1"/>
            <a:t>Toelichting</a:t>
          </a:r>
          <a:r>
            <a:rPr lang="en-US" sz="1600" b="1" baseline="0"/>
            <a:t> </a:t>
          </a:r>
          <a:r>
            <a:rPr lang="en-NL" sz="1600" b="1" baseline="0"/>
            <a:t>rekenmodel</a:t>
          </a:r>
          <a:endParaRPr lang="en-US" sz="1600" b="1" baseline="0"/>
        </a:p>
        <a:p>
          <a:pPr algn="ctr"/>
          <a:endParaRPr lang="en-US" sz="1600" b="1" baseline="0"/>
        </a:p>
        <a:p>
          <a:r>
            <a:rPr lang="en-US" sz="1200" b="1" baseline="0">
              <a:solidFill>
                <a:schemeClr val="dk1"/>
              </a:solidFill>
              <a:effectLst/>
              <a:latin typeface="+mn-lt"/>
              <a:ea typeface="+mn-ea"/>
              <a:cs typeface="+mn-cs"/>
            </a:rPr>
            <a:t>Welkom in het rekenmodel!</a:t>
          </a:r>
          <a:br>
            <a:rPr lang="en-US" sz="1200" b="1" baseline="0">
              <a:solidFill>
                <a:schemeClr val="dk1"/>
              </a:solidFill>
              <a:effectLst/>
              <a:latin typeface="+mn-lt"/>
              <a:ea typeface="+mn-ea"/>
              <a:cs typeface="+mn-cs"/>
            </a:rPr>
          </a:br>
          <a:r>
            <a:rPr lang="en-US" sz="1200" b="1" baseline="0">
              <a:solidFill>
                <a:schemeClr val="dk1"/>
              </a:solidFill>
              <a:effectLst/>
              <a:latin typeface="+mn-lt"/>
              <a:ea typeface="+mn-ea"/>
              <a:cs typeface="+mn-cs"/>
            </a:rPr>
            <a:t>Dit document is op verschillende tabbladen veel informatie te vinden, maak gebruik van de handleiding om te navigeren door het rekenmodel en de benodigde informatie uit het dashboard te halen.</a:t>
          </a:r>
          <a:endParaRPr lang="en-US" sz="1200">
            <a:effectLst/>
          </a:endParaRPr>
        </a:p>
        <a:p>
          <a:r>
            <a:rPr lang="en-US" sz="1200" baseline="0">
              <a:solidFill>
                <a:schemeClr val="dk1"/>
              </a:solidFill>
              <a:effectLst/>
              <a:latin typeface="+mn-lt"/>
              <a:ea typeface="+mn-ea"/>
              <a:cs typeface="+mn-cs"/>
            </a:rPr>
            <a:t> In de groene tabel hier rechts is te zien welke tabbladen aanwezig zijn in het rekenmodel.</a:t>
          </a:r>
          <a:endParaRPr lang="en-US" sz="1200">
            <a:effectLst/>
          </a:endParaRPr>
        </a:p>
        <a:p>
          <a:pPr algn="ctr"/>
          <a:endParaRPr lang="en-NL" sz="1200" b="1"/>
        </a:p>
        <a:p>
          <a:r>
            <a:rPr lang="nl-NL" sz="1200">
              <a:solidFill>
                <a:schemeClr val="dk1"/>
              </a:solidFill>
              <a:effectLst/>
              <a:latin typeface="+mn-lt"/>
              <a:ea typeface="+mn-ea"/>
              <a:cs typeface="+mn-cs"/>
            </a:rPr>
            <a:t>Dit rekenmodel is erg handig</a:t>
          </a:r>
          <a:r>
            <a:rPr lang="nl-NL" sz="1200" baseline="0">
              <a:solidFill>
                <a:schemeClr val="dk1"/>
              </a:solidFill>
              <a:effectLst/>
              <a:latin typeface="+mn-lt"/>
              <a:ea typeface="+mn-ea"/>
              <a:cs typeface="+mn-cs"/>
            </a:rPr>
            <a:t> om inzichten te krijgen in de gegevens van bouwmaterialen die in een Gebouw (project) zitten. Er wordt inzichtelijk gemaakt wat de recovery rate is van gebouw materialen, of het positief is voor het klimaat en of het financieel voordelig is om bouwmaterialen te hergebruiken of recyclen. </a:t>
          </a: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Dor de </a:t>
          </a:r>
          <a:r>
            <a:rPr lang="en-US" sz="1200" baseline="0">
              <a:solidFill>
                <a:schemeClr val="dk1"/>
              </a:solidFill>
              <a:effectLst/>
              <a:latin typeface="+mn-lt"/>
              <a:ea typeface="+mn-ea"/>
              <a:cs typeface="+mn-cs"/>
            </a:rPr>
            <a:t>gebruiker hoeft er vooral met het dashboard gewerkt te worden, elk</a:t>
          </a:r>
          <a:r>
            <a:rPr lang="en-US" sz="1200">
              <a:solidFill>
                <a:schemeClr val="dk1"/>
              </a:solidFill>
              <a:effectLst/>
              <a:latin typeface="+mn-lt"/>
              <a:ea typeface="+mn-ea"/>
              <a:cs typeface="+mn-cs"/>
            </a:rPr>
            <a:t> onderstreept kopje kan op basis van de</a:t>
          </a:r>
          <a:r>
            <a:rPr lang="en-US" sz="1200" baseline="0">
              <a:solidFill>
                <a:schemeClr val="dk1"/>
              </a:solidFill>
              <a:effectLst/>
              <a:latin typeface="+mn-lt"/>
              <a:ea typeface="+mn-ea"/>
              <a:cs typeface="+mn-cs"/>
            </a:rPr>
            <a:t> input worden aangepast en (handmatig) ingevuld worden. </a:t>
          </a:r>
          <a:endParaRPr lang="en-US" sz="1200">
            <a:effectLst/>
          </a:endParaRPr>
        </a:p>
        <a:p>
          <a:br>
            <a:rPr lang="en-US" sz="1200" baseline="0"/>
          </a:br>
          <a:r>
            <a:rPr lang="en-US" sz="1200" baseline="0"/>
            <a:t>De drie grote onderdelen die uit het rekenmodel gehaald kunnen worden om informatie op de materialen uit een gebouw zijn:</a:t>
          </a:r>
        </a:p>
        <a:p>
          <a:r>
            <a:rPr lang="en-NL" sz="1200" b="1" u="sng"/>
            <a:t>Recovery</a:t>
          </a:r>
          <a:r>
            <a:rPr lang="en-NL" sz="1200" b="1" u="sng" baseline="0"/>
            <a:t> rate:</a:t>
          </a:r>
          <a:endParaRPr lang="en-NL" sz="1200" b="1" u="sng"/>
        </a:p>
        <a:p>
          <a:r>
            <a:rPr lang="nl-NL" sz="1200"/>
            <a:t>Het rekenmodel bepaalt per materiaalsoort een indicatieve recovery rate op basis van kwalitatieve scores voor onder andere demonteerbaarheid, materiaalconditie en marktpotentie. Deze scores worden gemiddeld en gedeeld door de maximale score van 5, waardoor een percentage ontstaat dat aangeeft welk deel van het materiaal naar verwachting terugwinbaar of verkoopbaar is. Vervolgens koppelt het model deze recovery rate aan een routeadvies, zoals hergebruik of recycling. Voor A-categorieën wordt meestal hergebruik verondersteld, terwijl C-categorieën vaker naar recycling worden gestuurd.</a:t>
          </a:r>
          <a:endParaRPr lang="en-NL" sz="1200"/>
        </a:p>
        <a:p>
          <a:endParaRPr lang="en-NL" sz="1200"/>
        </a:p>
        <a:p>
          <a:r>
            <a:rPr lang="en-NL" sz="1200" b="1" u="sng"/>
            <a:t>Klimaatimpact:</a:t>
          </a:r>
          <a:endParaRPr lang="nl-NL" sz="1200" b="1" u="sng"/>
        </a:p>
        <a:p>
          <a:pPr marL="0" marR="0" lvl="0" indent="0" defTabSz="914400" eaLnBrk="1" fontAlgn="auto" latinLnBrk="0" hangingPunct="1">
            <a:lnSpc>
              <a:spcPct val="100000"/>
            </a:lnSpc>
            <a:spcBef>
              <a:spcPts val="0"/>
            </a:spcBef>
            <a:spcAft>
              <a:spcPts val="0"/>
            </a:spcAft>
            <a:buClrTx/>
            <a:buSzTx/>
            <a:buFontTx/>
            <a:buNone/>
            <a:tabLst/>
            <a:defRPr/>
          </a:pPr>
          <a:r>
            <a:rPr lang="nl-NL" sz="1200"/>
            <a:t>Naast de recovery rate berekent het model ook de CO₂-impact van drie scenario’s: nieuw materiaal, hergebruik en recycling. Per scenario wordt het volume vermenigvuldigd met een CO₂-factor en aangevuld met een transportcomponent. Op basis daarvan wordt bepaald welk scenario de laagste uitstoot heeft en welke klimaatbesparing ontstaat ten opzichte van nieuw materiaal.</a:t>
          </a:r>
          <a:endParaRPr lang="en-NL" sz="1200"/>
        </a:p>
        <a:p>
          <a:pPr marL="0" marR="0" lvl="0" indent="0" defTabSz="914400" eaLnBrk="1" fontAlgn="auto" latinLnBrk="0" hangingPunct="1">
            <a:lnSpc>
              <a:spcPct val="100000"/>
            </a:lnSpc>
            <a:spcBef>
              <a:spcPts val="0"/>
            </a:spcBef>
            <a:spcAft>
              <a:spcPts val="0"/>
            </a:spcAft>
            <a:buClrTx/>
            <a:buSzTx/>
            <a:buFontTx/>
            <a:buNone/>
            <a:tabLst/>
            <a:defRPr/>
          </a:pPr>
          <a:r>
            <a:rPr lang="nl-NL" sz="1200">
              <a:solidFill>
                <a:schemeClr val="dk1"/>
              </a:solidFill>
              <a:effectLst/>
              <a:latin typeface="+mn-lt"/>
              <a:ea typeface="+mn-ea"/>
              <a:cs typeface="+mn-cs"/>
            </a:rPr>
            <a:t>De totale co2 nieuw wordt ingevuld door de formule: Volume*CO₂ nieuw+ Volume* Transport-impact *Transport afstand </a:t>
          </a:r>
          <a:br>
            <a:rPr lang="nl-NL" sz="1200">
              <a:solidFill>
                <a:schemeClr val="dk1"/>
              </a:solidFill>
              <a:effectLst/>
              <a:latin typeface="+mn-lt"/>
              <a:ea typeface="+mn-ea"/>
              <a:cs typeface="+mn-cs"/>
            </a:rPr>
          </a:br>
          <a:r>
            <a:rPr lang="nl-NL" sz="1200">
              <a:solidFill>
                <a:schemeClr val="dk1"/>
              </a:solidFill>
              <a:effectLst/>
              <a:latin typeface="+mn-lt"/>
              <a:ea typeface="+mn-ea"/>
              <a:cs typeface="+mn-cs"/>
            </a:rPr>
            <a:t>Voor hergebruik en recycling wordt dezelfde (formule) methode toegepast, op basis van de juiste emissie factoren (zoals CO₂ hergebruik) van de juiste verwerkingsroute wordt gebruikt. </a:t>
          </a:r>
          <a:endParaRPr lang="nl-NL" sz="1200">
            <a:effectLst/>
          </a:endParaRPr>
        </a:p>
        <a:p>
          <a:r>
            <a:rPr lang="nl-NL" sz="1200">
              <a:solidFill>
                <a:schemeClr val="dk1"/>
              </a:solidFill>
              <a:effectLst/>
              <a:latin typeface="+mn-lt"/>
              <a:ea typeface="+mn-ea"/>
              <a:cs typeface="+mn-cs"/>
            </a:rPr>
            <a:t>En de optie met de laagste uitstoot wordt als klimaat vriendelijkste optie (advies) gegeven. </a:t>
          </a:r>
          <a:endParaRPr lang="en-NL" sz="1200"/>
        </a:p>
        <a:p>
          <a:endParaRPr lang="nl-NL" sz="1200"/>
        </a:p>
        <a:p>
          <a:r>
            <a:rPr lang="nl-NL" sz="1200" b="1" u="sng"/>
            <a:t>De financiële waarde</a:t>
          </a:r>
          <a:r>
            <a:rPr lang="en-NL" sz="1200" b="1" u="sng"/>
            <a:t>:</a:t>
          </a:r>
        </a:p>
        <a:p>
          <a:r>
            <a:rPr lang="en-NL" sz="1200" u="none"/>
            <a:t>W</a:t>
          </a:r>
          <a:r>
            <a:rPr lang="nl-NL" sz="1200"/>
            <a:t>ordt berekend door het verkoopbare volume te vermenigvuldigen met een verkoopprijs. Het verkoopbare volume volgt uit volume maal recovery rate. De verkoopprijs wordt bepaald via een prijstabel, waarin een retailprijs wordt vermenigvuldigd met een inkoopfactor van een retailer, metaalhandelaar of verwerker. </a:t>
          </a:r>
          <a:endParaRPr lang="en-NL" sz="1200"/>
        </a:p>
        <a:p>
          <a:r>
            <a:rPr lang="nl-NL" sz="1200"/>
            <a:t>Voor hout, staal, koper en aluminium leidt dit vaak tot een positieve restwaarde. Voor beton zijn de waarden negatief, omdat het model hier vooral acceptatie- of verwerkingskosten weergeeft. </a:t>
          </a:r>
          <a:endParaRPr lang="en-NL" sz="1200"/>
        </a:p>
        <a:p>
          <a:endParaRPr lang="en-NL" sz="1200"/>
        </a:p>
        <a:p>
          <a:r>
            <a:rPr lang="en-NL" sz="1200" b="1" u="sng"/>
            <a:t>Conclusie:</a:t>
          </a:r>
        </a:p>
        <a:p>
          <a:r>
            <a:rPr lang="nl-NL" sz="1200"/>
            <a:t>Het model biedt een bruikbare indicatie van de materiaalpotentie, CO₂-besparing en financiële restwaarde. De uitkomsten moeten echter worden gezien als richtinggevend, omdat de meeste gebruikte waarden gebaseerd zijn op schattingen, aannames, gemiddelde marktprijzen en indicatieve factoren. Denk hierbij aan recovery rates, materiaalcondities, verkoopprijzen, CO₂-factoren en transportimpact. Hierdoor geeft het model geen definitieve financiële of milieukundige berekening, maar vooral een onderbouwde inschatting die kan helpen bij het vergelijken van materialen en het maken van keuzes in een vroeg stadium.</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317500</xdr:colOff>
      <xdr:row>17</xdr:row>
      <xdr:rowOff>101600</xdr:rowOff>
    </xdr:to>
    <xdr:sp macro="" textlink="">
      <xdr:nvSpPr>
        <xdr:cNvPr id="6146" name="Text Box 2" hidden="1">
          <a:extLst>
            <a:ext uri="{FF2B5EF4-FFF2-40B4-BE49-F238E27FC236}">
              <a16:creationId xmlns:a16="http://schemas.microsoft.com/office/drawing/2014/main" id="{2E66AFA3-0F77-A9C6-081B-CE4A5CEFEA3B}"/>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317500</xdr:colOff>
      <xdr:row>18</xdr:row>
      <xdr:rowOff>101600</xdr:rowOff>
    </xdr:to>
    <xdr:sp macro="" textlink="">
      <xdr:nvSpPr>
        <xdr:cNvPr id="4098" name="Text Box 2" hidden="1">
          <a:extLst>
            <a:ext uri="{FF2B5EF4-FFF2-40B4-BE49-F238E27FC236}">
              <a16:creationId xmlns:a16="http://schemas.microsoft.com/office/drawing/2014/main" id="{2349166D-26BD-EC1B-4F75-4589B5E97B3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0</xdr:colOff>
      <xdr:row>12</xdr:row>
      <xdr:rowOff>0</xdr:rowOff>
    </xdr:to>
    <xdr:sp macro="" textlink="">
      <xdr:nvSpPr>
        <xdr:cNvPr id="3074" name="Text Box 2" hidden="1">
          <a:extLst>
            <a:ext uri="{FF2B5EF4-FFF2-40B4-BE49-F238E27FC236}">
              <a16:creationId xmlns:a16="http://schemas.microsoft.com/office/drawing/2014/main" id="{1FECEA98-AAF5-A7B5-5801-17F3B1BB4F1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317500</xdr:colOff>
      <xdr:row>15</xdr:row>
      <xdr:rowOff>101600</xdr:rowOff>
    </xdr:to>
    <xdr:sp macro="" textlink="">
      <xdr:nvSpPr>
        <xdr:cNvPr id="5122" name="Text Box 2" hidden="1">
          <a:extLst>
            <a:ext uri="{FF2B5EF4-FFF2-40B4-BE49-F238E27FC236}">
              <a16:creationId xmlns:a16="http://schemas.microsoft.com/office/drawing/2014/main" id="{515D104F-ED09-B2AA-09AB-D540E4F487A5}"/>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292100</xdr:colOff>
      <xdr:row>16</xdr:row>
      <xdr:rowOff>50800</xdr:rowOff>
    </xdr:to>
    <xdr:sp macro="" textlink="">
      <xdr:nvSpPr>
        <xdr:cNvPr id="2050" name="Text Box 2" hidden="1">
          <a:extLst>
            <a:ext uri="{FF2B5EF4-FFF2-40B4-BE49-F238E27FC236}">
              <a16:creationId xmlns:a16="http://schemas.microsoft.com/office/drawing/2014/main" id="{BEEBBE02-8511-0048-8D6A-DABDB91C282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Tijn Ebben" id="{DE870B2D-43E7-482F-AA70-F330BCC05298}" userId="S::tijn.ebben@student.hu.nl::c25b2aa4-dd4e-415f-8a2d-40926ccffec2" providerId="AD"/>
  <person displayName="Kamiel Kooijman" id="{56DAAD29-C63E-4E50-AE77-01C6F96CADB4}" userId="S::kamiel.kooijman@student.hu.nl::9ad6ed11-ae6c-4932-9e7a-f889624b363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AC9E3F1-3832-433D-8E40-55B0104C0881}" name="Tabel41" displayName="Tabel41" ref="G11:H17" totalsRowShown="0">
  <autoFilter ref="G11:H17" xr:uid="{0AC9E3F1-3832-433D-8E40-55B0104C0881}"/>
  <tableColumns count="2">
    <tableColumn id="1" xr3:uid="{1C721275-4520-4185-A7E4-1D2BB6CC5201}" name="Lagenda" dataDxfId="488"/>
    <tableColumn id="2" xr3:uid="{6E3C9C58-1256-45D4-BEEE-91C65630A484}" name="Formule" dataDxfId="48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E73100F-302F-4819-BA57-E04A06CBA502}" name="Tabel8" displayName="Tabel8" ref="G19:H22" totalsRowShown="0" headerRowDxfId="486" dataDxfId="485">
  <autoFilter ref="G19:H22" xr:uid="{2E73100F-302F-4819-BA57-E04A06CBA502}"/>
  <tableColumns count="2">
    <tableColumn id="1" xr3:uid="{4B5BE6C4-A6D2-4EB9-BF57-447E5DA7B16A}" name="Routeadvies" dataDxfId="484"/>
    <tableColumn id="2" xr3:uid="{9D2CDEF9-7F90-40F4-B4F2-FC6D9DC26DE1}" name="Betekenis" dataDxfId="48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AD966A8-874A-411D-90B9-01602E46B58D}" name="Tabel42" displayName="Tabel42" ref="G26:J30" totalsRowShown="0" headerRowDxfId="482" dataDxfId="481">
  <autoFilter ref="G26:J30" xr:uid="{4AD966A8-874A-411D-90B9-01602E46B58D}"/>
  <tableColumns count="4">
    <tableColumn id="1" xr3:uid="{BADDB230-00ED-4CE0-BCB8-44FD0F7E5D41}" name="Eindbeoordeling dashboard" dataDxfId="480"/>
    <tableColumn id="2" xr3:uid="{38AC9AFC-152D-4097-BFF0-F1B78001D68D}" name="Wanneer score je Ja?" dataDxfId="479"/>
    <tableColumn id="3" xr3:uid="{1B3F8F8C-4A97-43BC-8585-A8E14FFEE9C3}" name="Wanneer score je Nee?" dataDxfId="478"/>
    <tableColumn id="4" xr3:uid="{1075D43A-B095-4139-A9C7-AC1629519505}" name="Wanneer score je Handmatig?" dataDxfId="47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9AB24BD-9808-42AF-AC2E-D29FE7FCA4F9}" name="Tabel31" displayName="Tabel31" ref="G2:H8" totalsRowShown="0" headerRowDxfId="476" dataDxfId="475">
  <autoFilter ref="G2:H8" xr:uid="{D9AB24BD-9808-42AF-AC2E-D29FE7FCA4F9}"/>
  <tableColumns count="2">
    <tableColumn id="1" xr3:uid="{832BBA16-4E3D-48A9-B989-4CC9CAA392E2}" name="Tabblad in Excel" dataDxfId="474"/>
    <tableColumn id="2" xr3:uid="{E0CDC7FB-FA54-4B83-B7A5-4D156E72FFD4}" name="Functie binnen het rekenmodel" dataDxfId="473"/>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38A15FF-3CD2-442A-8EC5-1006DF2C5217}" name="Tabel26" displayName="Tabel26" ref="A2:X12" totalsRowShown="0" headerRowDxfId="472" dataDxfId="470" headerRowBorderDxfId="471" tableBorderDxfId="469" totalsRowBorderDxfId="468">
  <autoFilter ref="A2:X12" xr:uid="{738A15FF-3CD2-442A-8EC5-1006DF2C5217}"/>
  <sortState xmlns:xlrd2="http://schemas.microsoft.com/office/spreadsheetml/2017/richdata2" ref="A3:X12">
    <sortCondition ref="A2:A12"/>
  </sortState>
  <tableColumns count="24">
    <tableColumn id="1" xr3:uid="{2F3D4BD7-C66A-4CA3-A589-F75F4F2A2A9E}" name="Materiaalstroom" dataDxfId="467" dataCellStyle="Standaard 3"/>
    <tableColumn id="2" xr3:uid="{9AF2FA9B-C4C8-4B67-86A4-A858CE59C4C7}" name=" Bouwdeel uit BIM" dataDxfId="466" dataCellStyle="Standaard 3"/>
    <tableColumn id="3" xr3:uid="{0964AA5F-AA40-4601-B50E-2AAA814E9DA3}" name="BIM-volume m³" dataDxfId="465"/>
    <tableColumn id="11" xr3:uid="{80B7296C-9BA5-4867-847C-A3D7C0BC8B57}" name="Transport Impact" dataDxfId="464"/>
    <tableColumn id="7" xr3:uid="{71915DCF-3DA5-4894-9904-5FA5ACA67DDF}" name="Transportafstand (km)" dataDxfId="463"/>
    <tableColumn id="8" xr3:uid="{49FE0820-1244-49CE-BABE-A93E8667F465}" name="Demonteerbaarheid" dataDxfId="462"/>
    <tableColumn id="9" xr3:uid="{3432DDC5-923A-4AE2-8639-19957BF49F8F}" name="Materiaalconditie " dataDxfId="461"/>
    <tableColumn id="10" xr3:uid="{B0D65982-F7EC-4D09-ABA9-DBE28F1EBBD0}" name="Marktpotentie " dataDxfId="460"/>
    <tableColumn id="13" xr3:uid="{18FBF04C-3FAE-4354-B2A0-8A8B87F5595F}" name="PRR" dataDxfId="459"/>
    <tableColumn id="16" xr3:uid="{C2231B7C-E677-4D32-9DD3-72C5DDD3B9DA}" name="Routeadvies" dataDxfId="458">
      <calculatedColumnFormula>IF(I3="","Handmatig beoordelen",IF(I3&gt;=0.8,"Hergebruik",IF(I3&gt;=0.55,"Hergebruik &gt; recycling",IF(I3&gt;=0.3,"Recycling","Handmatig beoordelen"))))</calculatedColumnFormula>
    </tableColumn>
    <tableColumn id="14" xr3:uid="{D54684B8-9BC5-408F-9784-4B96588C9859}" name="Grenswaarde" dataDxfId="457">
      <calculatedColumnFormula>IF(Tabel26[[#This Row],[Routeadvies]]="Hergebruik","&gt;= 0,8",IF(Tabel26[[#This Row],[Routeadvies]]="Hergebruik &gt; recycling","&gt;= 0,55 en &lt; 0,8",IF(Tabel26[[#This Row],[Routeadvies]]="Recycling","&gt;= 0,3 en &lt; 0,55",IF(Tabel26[[#This Row],[Routeadvies]]="Handmatig beoordelen","&lt; 0,3 of geen score",""))))</calculatedColumnFormula>
    </tableColumn>
    <tableColumn id="22" xr3:uid="{F65F8717-34AA-4E07-95B5-BB79778258D3}" name="Klasse" dataDxfId="456">
      <calculatedColumnFormula>IF($B3="Totaal","Totaal",IF($A3="Hout",IF(OR($B3="Trappen",$B3="Ramen",$B3="Deuren",$B3="Kozijnen",$B3="Dakkapellen",$B3="Dakconstructie"),"Bijzonder hout",IF($G3="","Handmatig beoordelen",IF($G3&gt;=4,"A-hout",IF($G3&gt;=3,"B-hout",IF($G3&gt;0,"C-hout","Handmatig beoordelen"))))),IF($A3="Staal",IF(OR($B3="Kolommen",$B3="Balken",$B3="Liggers",$B3="Buisstaalconstructies",$B3="Kozijnen",$B3="Trappen",$B3="Hekwerken",$B3="Leuningen"),"Bijzonder staal",IF($G3="","Handmatig beoordelen",IF($G3&gt;=4,"A-staal",IF($G3&gt;=2,"B-staal",IF($G3&gt;0,"C-staal","Handmatig beoordelen"))))),IF($A3="Beton",IF(OR($B3="Funderingen",$B3="Heipalen",$B3="Prefab elementen",$B3="Kanaalplaatvloeren",$B3="Breedplaatvloeren",$B3="Trappen",$B3="Gevelpanelen"),"Bijzonder beton",IF($G3="","Handmatig beoordelen",IF($G3&gt;=4,"A-beton",IF($G3&gt;=3,"B-beton",IF($G3&gt;0,"C-beton","Handmatig beoordelen"))))),IF(OR($A3="Aluminium",$A3="Alumiunium"),IF(OR($B3="Ramen",$B3="Deuren",$B3="Kozijnen",$B3="Vliesgevels",$B3="Gevelsystemen",$B3="Zonwering",$B3="Trappen"),"Bijzonder aluminium",IF($G3="","Handmatig beoordelen",IF($G3&gt;=4,"A-aluminium",IF($G3&gt;=3,"B-aluminium",IF($G3&gt;0,"C-aluminium","Handmatig beoordelen"))))),IF($A3="Koper",IF(OR($B3="Installaties",$B3="Technische ruimte",$B3="Verdeelkast",$B3="Meterkast",$B3="Bliksemafleiding",$B3="Leidingnetten"),"Bijzonder koper",IF($G3="","Handmatig beoordelen",IF($G3&gt;=4,"A-koper",IF($G3&gt;=3,"B-koper",IF($G3&gt;0,"C-koper","Handmatig beoordelen"))))),IF($A3="Bitumen",IF(OR($B3="Dakopbouw",$B3="Groendak",$B3="Opstanden",$B3="Kimmen",$B3="Aansluitdetails",$B3="Dakdetails"),"Bijzonder bitumen",IF($G3="","Handmatig beoordelen",IF($G3&gt;=4,"A-bitumen",IF($G3&gt;=3,"B-bitumen",IF($G3&gt;0,"C-bitumen","Handmatig beoordelen"))))),"Handmatig beoordelen")))))))</calculatedColumnFormula>
    </tableColumn>
    <tableColumn id="23" xr3:uid="{05591F5D-3770-4F19-AC2F-679485793462}" name="Tot. nieuw CO2 (kg)" dataDxfId="455">
      <calculatedColumnFormula>IFERROR(Tabel26[[#This Row],[BIM-volume m³]]*INDEX(Tabel113[CO2-nieuw (kg)],1)+Tabel26[[#This Row],[BIM-volume m³]]*INDEX(Tabel113[Transport-impact ],1)*IF(Tabel26[[#This Row],[Transportafstand (km)]]="",0,Tabel26[[#This Row],[Transportafstand (km)]]),0)</calculatedColumnFormula>
    </tableColumn>
    <tableColumn id="6" xr3:uid="{2C349C90-8915-4751-B7B4-19F90AE3390C}" name="Tot. hergebruik CO2 (kg)" dataDxfId="454">
      <calculatedColumnFormula>IF(Tabel26[[#This Row],[Klasse]]="Totaal",SUM(M4:M12),IFERROR(Tabel26[[#This Row],[BIM-volume m³]]*INDEX(Tabel113[CO2-Hergebruik (kg)],1)+Tabel26[[#This Row],[BIM-volume m³]]*INDEX(Tabel113[Transport-impact ],1)*IF(Tabel26[[#This Row],[Transportafstand (km)]]="",0,Tabel26[[#This Row],[Transportafstand (km)]]),0))</calculatedColumnFormula>
    </tableColumn>
    <tableColumn id="5" xr3:uid="{A119DB4B-E3CE-4824-A2EF-7995CEBB67E6}" name="Tot. recycling Co2 (kg)" dataDxfId="453">
      <calculatedColumnFormula>IFERROR(Tabel26[[#This Row],[BIM-volume m³]]*INDEX(Tabel113[CO2- recycle (kg)],1)+Tabel26[[#This Row],[BIM-volume m³]]*Tabel26[[#This Row],[Transport Impact]]*IF(Tabel26[[#This Row],[Transportafstand (km)]]="",0,Tabel26[[#This Row],[Transportafstand (km)]]),0)</calculatedColumnFormula>
    </tableColumn>
    <tableColumn id="4" xr3:uid="{10A9E7F7-5ABD-4963-B1F5-85B8E3A65984}" name="Klimaatbespring kg Co2" dataDxfId="452">
      <calculatedColumnFormula>IF($B10="Totaal",SUM($O$4:$O$12),IFERROR(MAX(0,$M3-MIN($N3,$O3)),0))</calculatedColumnFormula>
    </tableColumn>
    <tableColumn id="12" xr3:uid="{31943403-5575-41E8-8494-55E4206510D0}" name="Routeadvies 2" dataDxfId="451">
      <calculatedColumnFormula>IF(OR($M3="",$M3=0),"Geen beoordeling",IF(AND($N3=0,$O3=0),"Geen beoordeling",IF($N3&lt;$O3,"Hergebruik",IF($O3&lt;$N3,"Recycling","Hergebruik en recycling gelijk"))))</calculatedColumnFormula>
    </tableColumn>
    <tableColumn id="15" xr3:uid="{FE06B513-D50A-4412-8D2C-CF948ECE7D44}" name="Verkoopbare volume m³" dataDxfId="450"/>
    <tableColumn id="24" xr3:uid="{0E378A40-B503-41EB-9433-7A756A04DCF7}" name="Verkoopprijs per m³" dataDxfId="449">
      <calculatedColumnFormula>IFERROR(VLOOKUP(Tabel26[[#This Row],[Klasse]],Hout!$A$11:$D$14,4,FALSE),0)</calculatedColumnFormula>
    </tableColumn>
    <tableColumn id="25" xr3:uid="{75A53C3D-95D7-47B7-99A2-1C93065DF1D3}" name="Financiële marktwaarde excl. kosten" dataDxfId="448">
      <calculatedColumnFormula>R3*S3</calculatedColumnFormula>
    </tableColumn>
    <tableColumn id="26" xr3:uid="{D913CAAA-8678-492C-B77D-96343EE8DEE8}" name="Recovery hoog?" dataDxfId="447">
      <calculatedColumnFormula>IF(OR($L3="Handmatig beoordelen",$L3="",$L3="Totaal",$I3=""),"Handmatig",IF($I3&gt;=70%,"Ja","Nee"))</calculatedColumnFormula>
    </tableColumn>
    <tableColumn id="27" xr3:uid="{DC98608A-115F-4069-B1B0-E1D454C17540}" name="Klimaat positief?" dataDxfId="446">
      <calculatedColumnFormula>IF(OR($L3="Handmatig beoordelen",$L3="",$L3="Totaal"),"Handmatig",IF($P3&gt;0,"Ja","Nee"))</calculatedColumnFormula>
    </tableColumn>
    <tableColumn id="28" xr3:uid="{45D7B620-D15C-418E-879C-78E10C307770}" name="Financiele positief?" dataDxfId="445">
      <calculatedColumnFormula>IF(OR($L3="Handmatig beoordelen",$L3="",$L3="Totaal"),"Handmatig",IF($T3&gt;0,"Ja","Nee"))</calculatedColumnFormula>
    </tableColumn>
    <tableColumn id="29" xr3:uid="{BDF9232F-BA64-4473-9BE9-A96594388F6B}" name="Eindbeoordeling" dataDxfId="44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700F2770-7994-4561-A752-2E0B1C095991}" name="Tabel2640" displayName="Tabel2640" ref="A14:X24" totalsRowShown="0" headerRowDxfId="443" dataDxfId="441" headerRowBorderDxfId="442" tableBorderDxfId="440" totalsRowBorderDxfId="439">
  <autoFilter ref="A14:X24" xr:uid="{700F2770-7994-4561-A752-2E0B1C095991}"/>
  <sortState xmlns:xlrd2="http://schemas.microsoft.com/office/spreadsheetml/2017/richdata2" ref="A15:X24">
    <sortCondition ref="A2:A12"/>
  </sortState>
  <tableColumns count="24">
    <tableColumn id="1" xr3:uid="{5A39E3D6-A4CE-4AD5-89CA-E6F7DE09239C}" name="Materiaalstroom" dataDxfId="438" dataCellStyle="Standaard 3"/>
    <tableColumn id="2" xr3:uid="{E6EBC403-60EA-4008-951B-5A2036E016FB}" name=" Bouwdeel uit BIM" dataDxfId="437" dataCellStyle="Standaard 3"/>
    <tableColumn id="3" xr3:uid="{AEB1D171-A288-49E9-86AF-C96999894002}" name="BIM-volume m³" dataDxfId="436">
      <calculatedColumnFormula>'Staal-data'!B2</calculatedColumnFormula>
    </tableColumn>
    <tableColumn id="14" xr3:uid="{0DD1155C-B51C-4337-9146-EF71739774A4}" name="Transport Impact" dataDxfId="435"/>
    <tableColumn id="7" xr3:uid="{4412B687-0000-4984-92CF-F7572B3781D2}" name="Transportafstand (km)" dataDxfId="434">
      <calculatedColumnFormula>SUM(E16:E24)</calculatedColumnFormula>
    </tableColumn>
    <tableColumn id="8" xr3:uid="{FE428FF8-80AD-41CA-9595-C34DA633F924}" name="Demonteerbaarheid" dataDxfId="433"/>
    <tableColumn id="9" xr3:uid="{21EC9740-8F85-4D0B-999C-D804F672E5E3}" name="Materiaalconditie " dataDxfId="432"/>
    <tableColumn id="10" xr3:uid="{C20B5661-6DD5-4194-8820-B3168FE97749}" name="Marktpotentie " dataDxfId="431"/>
    <tableColumn id="13" xr3:uid="{76209570-5544-4430-B911-97CA86A957C6}" name="PRR" dataDxfId="430">
      <calculatedColumnFormula>IFERROR(ROUND(AVERAGE(Tabel2640[[#This Row],[Demonteerbaarheid]],Tabel2640[[#This Row],[Materiaalconditie ]],Tabel2640[[#This Row],[Marktpotentie ]])/5,2),0)</calculatedColumnFormula>
    </tableColumn>
    <tableColumn id="16" xr3:uid="{E87D84FC-4E80-441E-8EA5-1B95B034DA55}" name="Routeadvies" dataDxfId="429">
      <calculatedColumnFormula>IF(Tabel2640[[#This Row],[PRR]]="","Handmatig beoordelen",IF(Tabel2640[[#This Row],[PRR]]&gt;=0.75,"Hergebruik",IF(Tabel2640[[#This Row],[PRR]]&gt;=0.4,"Hergebruik &gt; recycling",IF(Tabel2640[[#This Row],[PRR]]&gt;=0.15,"Recycling","Handmatig beoordelen"))))</calculatedColumnFormula>
    </tableColumn>
    <tableColumn id="5" xr3:uid="{BF272F90-E36E-4635-960A-3A83761D0A8E}" name="Grenswaarde" dataDxfId="428">
      <calculatedColumnFormula>IF(Tabel2640[[#This Row],[Routeadvies]]="Hergebruik","&gt;= 0,75",IF(Tabel2640[[#This Row],[Routeadvies]]="Hergebruik &gt; recycling","&gt;= 0,4 en &lt; 0,75",IF(Tabel2640[[#This Row],[Routeadvies]]="Recycling","&gt;= 0,15 en &lt; 0,4",IF(Tabel2640[[#This Row],[Routeadvies]]="Handmatig beoordelen","&lt; 0,15 of geen score",""))))</calculatedColumnFormula>
    </tableColumn>
    <tableColumn id="22" xr3:uid="{F317AA0F-7F7C-42C1-BC85-9834683DF156}" name="Klasse" dataDxfId="427">
      <calculatedColumnFormula>IF($B15="Totaal","Totaal",IF(OR($B15="deuren",$B15="Balken",$B15="Liggers",$B15="Buisstaalconstructies",$B15="Kozijnen",$B15="Trappen",$B15="Hekwerken",$B15="Leuningen",$B15="ramen"),"Bijzonder staal",IF($G15="","Handmatig beoordelen",IF($G15&gt;=4,"A-staal",IF($G15&gt;=2,"B-staal",IF($G15&gt;0,"C-staal","Handmatig beoordelen"))))))</calculatedColumnFormula>
    </tableColumn>
    <tableColumn id="6" xr3:uid="{AEE04618-65BA-4303-ACC6-13CD9E3C7B15}" name="Tot. nieuw CO2 (kg)" dataDxfId="426">
      <calculatedColumnFormula>IFERROR(Tabel2640[[#This Row],[BIM-volume m³]]*INDEX(Tabel17[CO2-nieuw (kg)],1)+Tabel2640[[#This Row],[BIM-volume m³]]*Tabel2640[[#This Row],[Transport Impact]]*IF(Tabel2640[[#This Row],[Transportafstand (km)]]="",0,Tabel2640[[#This Row],[Transportafstand (km)]]),0)</calculatedColumnFormula>
    </tableColumn>
    <tableColumn id="11" xr3:uid="{34DF6DFE-65AB-4349-B9A9-469DF0F89B87}" name="Tot. hergebruik CO2 (kg)" dataDxfId="425">
      <calculatedColumnFormula>IFERROR(Tabel2640[[#This Row],[BIM-volume m³]]*INDEX(Tabel17[CO2-Hergebruik (kg)],1)+Tabel2640[[#This Row],[BIM-volume m³]]*INDEX(Tabel17[Transport afstand (km)],1)*Tabel2640[[#This Row],[Transport Impact]],0)</calculatedColumnFormula>
    </tableColumn>
    <tableColumn id="12" xr3:uid="{D94C5168-D49D-4003-967C-703D16B5951F}" name="Tot. recycling Co2 (kg)" dataDxfId="424">
      <calculatedColumnFormula>IFERROR(Tabel2640[[#This Row],[BIM-volume m³]]*Staal!$O$3+Tabel2640[[#This Row],[BIM-volume m³]]*Tabel2640[[#This Row],[Transport Impact]]*IF(Tabel2640[[#This Row],[Transportafstand (km)]]="",0,Tabel2640[[#This Row],[Transportafstand (km)]]),0)</calculatedColumnFormula>
    </tableColumn>
    <tableColumn id="23" xr3:uid="{B9FFD072-8913-4F6A-8BB0-58011BE80BFB}" name="Klimaatbesparing kg CO₂" dataDxfId="423">
      <calculatedColumnFormula>IF($B22="Totaal",SUM($P$16:$P$24),IFERROR(MAX(0,$M14-MIN($N15,#REF!)),0))</calculatedColumnFormula>
    </tableColumn>
    <tableColumn id="4" xr3:uid="{7A62CEDC-8923-46E7-A154-E0B21E6AD337}" name="Routeadvies 2" dataDxfId="422">
      <calculatedColumnFormula>IF(OR($M14="",$M14=0),"Geen beoordeling",IF(AND($N15=0,$O15=0),"Geen beoordeling",IF($N15&lt;$O15,"Hergebruik",IF($O15&lt;$N15,"Recycling","Hergebruik en recycling gelijk"))))</calculatedColumnFormula>
    </tableColumn>
    <tableColumn id="15" xr3:uid="{C7E8E304-68B9-4A85-92B1-B0E2239019A1}" name="Praktisch terugwinbaar volume m³" dataDxfId="421"/>
    <tableColumn id="24" xr3:uid="{25B42212-5C83-48A7-A792-172C4D1CDFCC}" name="Verkoopprijs per m³" dataDxfId="420">
      <calculatedColumnFormula>IFERROR(VLOOKUP(Tabel2640[[#This Row],[Klasse]],Staal!$A$10:$D$13,4,FALSE),0)</calculatedColumnFormula>
    </tableColumn>
    <tableColumn id="25" xr3:uid="{C1399260-3E62-49D0-AB74-0E79FDF2923F}" name="Financiële marktwaarde excl. kosten" dataDxfId="419">
      <calculatedColumnFormula>Tabel2640[[#This Row],[Praktisch terugwinbaar volume m³]]*Tabel2640[[#This Row],[Verkoopprijs per m³]]</calculatedColumnFormula>
    </tableColumn>
    <tableColumn id="26" xr3:uid="{64270012-69D4-440C-AEA0-4D96D8A2F965}" name="Recovery hoog?" dataDxfId="418">
      <calculatedColumnFormula>IF(OR($L15="Handmatig beoordelen",$L15="",$L15="Totaal",$I15=""),"Handmatig",IF($I15&gt;=70%,"Ja","Nee"))</calculatedColumnFormula>
    </tableColumn>
    <tableColumn id="27" xr3:uid="{72CFD3A1-07CD-4F90-A9B6-F13B7515BF1E}" name="Klimaat positief?" dataDxfId="417">
      <calculatedColumnFormula>IF(OR($L15="Handmatig beoordelen",$L15="",$L15="Totaal",$Q15=""),"Handmatig",IF(OR($Q15="Hergebruik",$Q15="Recycling",$Q15="Hergebruik en recycling",$Q15="Hergebruik en recycling gelijk"),"Ja","Nee"))</calculatedColumnFormula>
    </tableColumn>
    <tableColumn id="28" xr3:uid="{98068BD2-54F1-4647-8827-95357F3EC30F}" name="Financiele positief?" dataDxfId="416">
      <calculatedColumnFormula>IF(OR($L15="Handmatig beoordelen",$L15="",$L15="Totaal"),"Handmatig",IF($T15&gt;0,"Ja","Nee"))</calculatedColumnFormula>
    </tableColumn>
    <tableColumn id="29" xr3:uid="{CA22AA3D-17B6-4F54-A3B1-9E79C6744E66}" name="Eindbeoordeling" dataDxfId="415">
      <calculatedColumnFormula>IF(OR($U15="Handmatig",$V15="Handmatig",$W15="Handmatig"),"Handmatig beoordelen",IF(COUNTIF($U15:$W15,"Ja")&gt;=2,"Interessant",IF(COUNTIF($U15:$W15,"Ja")=1,"Eigen beoordeling","Niet interessant")))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10D3E53-77A6-4039-89A6-8414DB35AB5B}" name="Tabel264041" displayName="Tabel264041" ref="A26:X36" totalsRowShown="0" headerRowDxfId="414" dataDxfId="412" headerRowBorderDxfId="413" tableBorderDxfId="411" totalsRowBorderDxfId="410">
  <autoFilter ref="A26:X36" xr:uid="{C10D3E53-77A6-4039-89A6-8414DB35AB5B}"/>
  <sortState xmlns:xlrd2="http://schemas.microsoft.com/office/spreadsheetml/2017/richdata2" ref="A27:X36">
    <sortCondition ref="A2:A12"/>
  </sortState>
  <tableColumns count="24">
    <tableColumn id="1" xr3:uid="{BCE084D3-205E-43A7-95BE-7753C1571032}" name="Materiaalstroom" dataDxfId="409" dataCellStyle="Standaard 3"/>
    <tableColumn id="2" xr3:uid="{4DF64DDE-9529-4952-B38C-FF079370E1B6}" name=" Bouwdeel uit BIM" dataDxfId="408" dataCellStyle="Standaard 3"/>
    <tableColumn id="3" xr3:uid="{05A4DF15-6FB0-4408-BBD3-6CBA196E6656}" name="BIM-volume m³" dataDxfId="407">
      <calculatedColumnFormula>'Beton-data'!B2</calculatedColumnFormula>
    </tableColumn>
    <tableColumn id="4" xr3:uid="{5D85EEEB-8DDD-47C1-84D4-395F41DDA379}" name="Transport Impact" dataDxfId="406"/>
    <tableColumn id="7" xr3:uid="{1CE9631D-EE61-4D2F-83F7-914CACDE0BAB}" name="Transportafstand (km)" dataDxfId="405"/>
    <tableColumn id="8" xr3:uid="{E9282E9B-076E-416F-82F0-0788101FE1E3}" name="Demonteerbaarheid" dataDxfId="404"/>
    <tableColumn id="9" xr3:uid="{EE13E199-57B6-4C4A-BA8A-2179F532E785}" name="Materiaalconditie " dataDxfId="403"/>
    <tableColumn id="10" xr3:uid="{D4F08E1A-CA0F-43C3-917A-819D4B334C93}" name="Marktpotentie " dataDxfId="402"/>
    <tableColumn id="13" xr3:uid="{30A2AE48-29CC-4CE0-9DB2-40F9A7A11BC2}" name="PRR" dataDxfId="401">
      <calculatedColumnFormula>IFERROR(ROUND(AVERAGE(Tabel264041[[#This Row],[Demonteerbaarheid]],Tabel264041[[#This Row],[Materiaalconditie ]],Tabel264041[[#This Row],[Marktpotentie ]])/5,2),0)</calculatedColumnFormula>
    </tableColumn>
    <tableColumn id="16" xr3:uid="{77E9A2F7-836B-4A04-8E14-C143F42538BF}" name="Routeadvies" dataDxfId="400">
      <calculatedColumnFormula>IF(Tabel264041[[#This Row],[PRR]]="","Handmatig beoordelen",IF(Tabel264041[[#This Row],[PRR]]&gt;=0.9,"Hergebruik",IF(Tabel264041[[#This Row],[PRR]]&gt;=0.7,"Hergebruik &gt; recycling",IF(Tabel264041[[#This Row],[PRR]]&gt;=0.35,"Recycling","Handmatig beoordelen"))))</calculatedColumnFormula>
    </tableColumn>
    <tableColumn id="14" xr3:uid="{B45A4840-8508-4F9B-811D-637C53B4C946}" name="Grenswaarde" dataDxfId="399">
      <calculatedColumnFormula>IF(Tabel264041[[#This Row],[Routeadvies]]="Hergebruik","&gt;= 0,9",IF(Tabel264041[[#This Row],[Routeadvies]]="Hergebruik &gt; recycling","&gt;= 0,7 en &lt; 0,9",IF(Tabel264041[[#This Row],[Routeadvies]]="Recycling","&gt;= 0,35 en &lt; 0,7",IF(Tabel264041[[#This Row],[Routeadvies]]="Handmatig beoordelen","&lt; 0,35",""))))</calculatedColumnFormula>
    </tableColumn>
    <tableColumn id="22" xr3:uid="{E2261CD4-480E-430A-988F-A777810013A8}" name="Klasse" dataDxfId="398">
      <calculatedColumnFormula>IF($B27="Totaal","Totaal",IF(OR($B27="Funderingen",$B27="Heipalen",$B27="Prefab elementen",$B27="Kanaalplaatvloeren",$B27="Breedplaatvloeren",$B27="Trappen",$B27="Gevelpanelen",$B27="ramen"),"Bijzonder beton",IF($G27="","Handmatig beoordelen",IF($G27&gt;=4,"A-beton",IF($G27&gt;=3,"B-beton",IF($G27&gt;0,"C-beton","Handmatig beoordelen"))))))</calculatedColumnFormula>
    </tableColumn>
    <tableColumn id="11" xr3:uid="{9DE7D07A-63CD-4DB7-ACB6-816CCB5C33C3}" name="Tot. nieuw CO2 (kg)" dataDxfId="397">
      <calculatedColumnFormula>Tabel15[[#This Row],[Volume (m3)]]*Tabel15[[#This Row],[CO2-nieuw (kg)]]+Tabel15[[#This Row],[Volume (m3)]]*Tabel15[[#This Row],[Transport afstand (km)]]*Tabel15[[#This Row],[Transport-impact ]]</calculatedColumnFormula>
    </tableColumn>
    <tableColumn id="6" xr3:uid="{3A0CC865-42B9-4663-AE30-91D5E2C65D20}" name="Tot. hergebruik CO2 (kg)" dataDxfId="396">
      <calculatedColumnFormula>IFERROR(Tabel264041[[#This Row],[BIM-volume m³]]*Beton!$N$3+Tabel264041[[#This Row],[BIM-volume m³]]*Tabel264041[[#This Row],[Transport Impact]]*IF(Tabel264041[[#This Row],[Transportafstand (km)]]="",0,Tabel264041[[#This Row],[Transportafstand (km)]]),0)</calculatedColumnFormula>
    </tableColumn>
    <tableColumn id="5" xr3:uid="{56A1EFA3-7DBD-4F5A-A928-BBEB56BB4CAD}" name="Tot. recycling Co2 (kg)" dataDxfId="395"/>
    <tableColumn id="23" xr3:uid="{D8F6E6F4-5826-43B8-B1DB-4A58CCFA5A52}" name="Klimaatbesparing kg CO₂" dataDxfId="394">
      <calculatedColumnFormula>IFERROR(MAX(0,Tabel264041[[#This Row],[Tot. nieuw CO2 (kg)]]-MIN(IF(Tabel264041[[#This Row],[Tot. hergebruik CO2 (kg)]]=0,999999,Tabel264041[[#This Row],[Tot. hergebruik CO2 (kg)]]),IF(Tabel264041[[#This Row],[Tot. recycling Co2 (kg)]]=0,999999,Tabel264041[[#This Row],[Tot. recycling Co2 (kg)]]))),0)</calculatedColumnFormula>
    </tableColumn>
    <tableColumn id="12" xr3:uid="{F285B019-5276-4907-89C2-9041B773C4FE}" name="Routeadvies 2" dataDxfId="393">
      <calculatedColumnFormula>IF(OR($M27="",$M27=0),"Geen beoordeling",IF(AND($N27=0,$O27=0),"Geen beoordeling",IF($N27&lt;$O27,"Hergebruik",IF($O27&lt;$N27,"Recycling","Hergebruik en recycling gelijk"))))</calculatedColumnFormula>
    </tableColumn>
    <tableColumn id="15" xr3:uid="{35AE11A5-781D-4691-92AE-65BD9D4AAA9E}" name="Praktisch terugwinbaar volume m³" dataDxfId="392">
      <calculatedColumnFormula>IFERROR(Tabel264041[[#This Row],[BIM-volume m³]]*Tabel264041[[#This Row],[PRR]],0)</calculatedColumnFormula>
    </tableColumn>
    <tableColumn id="24" xr3:uid="{56716D36-10E0-489F-BEE6-322CE872F753}" name="Verkoopprijs per m³" dataDxfId="391">
      <calculatedColumnFormula>IFERROR(VLOOKUP(Tabel264041[[#This Row],[Klasse]],Beton!$A$10:$D$13,4,FALSE),0)</calculatedColumnFormula>
    </tableColumn>
    <tableColumn id="25" xr3:uid="{19680028-5A98-4917-9C98-D8B967C6C71B}" name="Financiële marktwaarde excl. kosten" dataDxfId="390">
      <calculatedColumnFormula>+Tabel264041[[#This Row],[Praktisch terugwinbaar volume m³]]*Tabel264041[[#This Row],[Verkoopprijs per m³]]</calculatedColumnFormula>
    </tableColumn>
    <tableColumn id="26" xr3:uid="{3AD99487-D5C7-4D01-BB14-E82CBFBA5964}" name="Recovery hoog?" dataDxfId="389">
      <calculatedColumnFormula>IF(OR($L27="Handmatig beoordelen",$L27="",$L27="Totaal",$I27=""),"Handmatig",IF($I27&gt;=70%,"Ja","Nee"))</calculatedColumnFormula>
    </tableColumn>
    <tableColumn id="27" xr3:uid="{A2621BC4-65AC-46EB-9445-4BBEA5BBD3F9}" name="Klimaat positief?" dataDxfId="388">
      <calculatedColumnFormula>IF(OR($L27="Handmatig beoordelen",$L27="",$L27="Totaal",$Q27=""),"Handmatig",IF(OR($Q27="Hergebruik",$Q27="Recycling",$Q27="Hergebruik en recycling",$Q27="Hergebruik en recycling gelijk"),"Ja","Nee"))</calculatedColumnFormula>
    </tableColumn>
    <tableColumn id="28" xr3:uid="{B6515631-EA83-4D3F-86DC-F3AD841AF583}" name="Financiele positief?" dataDxfId="387">
      <calculatedColumnFormula>IF(OR($L27="Handmatig beoordelen",$L27="",$L27="Totaal"),"Handmatig",IF($T27&gt;0,"Ja","Nee"))</calculatedColumnFormula>
    </tableColumn>
    <tableColumn id="29" xr3:uid="{859E9217-03EE-4396-B0E3-286EF75A53D5}" name="Eindbeoordeling" dataDxfId="386">
      <calculatedColumnFormula>IF(OR($U27="Handmatig",$V27="Handmatig",$W27="Handmatig"),"Handmatig beoordelen",IF(COUNTIF($U27:$W27,"Ja")&gt;=2,"Interessant",IF(COUNTIF($U27:$W27,"Ja")=1,"Eigen beoordeling","Niet interessant")))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4B8D1D6-B79F-478D-B11E-A7F5BD71E035}" name="Tabel26404142" displayName="Tabel26404142" ref="A50:X60" totalsRowShown="0" headerRowDxfId="385" dataDxfId="383" headerRowBorderDxfId="384" tableBorderDxfId="382" totalsRowBorderDxfId="381">
  <autoFilter ref="A50:X60" xr:uid="{B4B8D1D6-B79F-478D-B11E-A7F5BD71E035}"/>
  <sortState xmlns:xlrd2="http://schemas.microsoft.com/office/spreadsheetml/2017/richdata2" ref="A51:X60">
    <sortCondition ref="A14:A24"/>
  </sortState>
  <tableColumns count="24">
    <tableColumn id="1" xr3:uid="{2996141D-83AB-4AAC-870E-7E5118D83AE7}" name="Materiaalstroom" dataDxfId="380" dataCellStyle="Standaard 3"/>
    <tableColumn id="2" xr3:uid="{8E62DFE2-43FC-4C5C-B329-7453281FB3D0}" name=" Bouwdeel uit BIM" dataDxfId="379" dataCellStyle="Standaard 3"/>
    <tableColumn id="3" xr3:uid="{4A16BA79-3D97-43B3-84E4-448444D89653}" name="BIM-volume m³" dataDxfId="378">
      <calculatedColumnFormula>'Koper-data'!B2</calculatedColumnFormula>
    </tableColumn>
    <tableColumn id="4" xr3:uid="{C7E214EB-8C10-434A-8474-38BE8D0C5EAA}" name="Transport Impact" dataDxfId="377"/>
    <tableColumn id="7" xr3:uid="{CA5A95B1-3C8E-4417-803D-E6C752560522}" name="Transportafstand (km)" dataDxfId="376"/>
    <tableColumn id="8" xr3:uid="{A135875E-465B-4960-8CD2-EC1088C684E6}" name="Demonteerbaarheid" dataDxfId="375"/>
    <tableColumn id="9" xr3:uid="{B7784AC7-E5E7-4582-A0C5-B9D159CEDA8E}" name="Materiaalconditie " dataDxfId="374"/>
    <tableColumn id="10" xr3:uid="{84F73AA9-794E-4A8E-9598-8C8FB14ECED3}" name="Marktpotentie " dataDxfId="373"/>
    <tableColumn id="13" xr3:uid="{2E4FFF9E-7705-45E7-8207-3B60716BAC3D}" name="PRR" dataDxfId="372">
      <calculatedColumnFormula>IFERROR(ROUND(AVERAGE(Tabel26404142[[#This Row],[Demonteerbaarheid]],Tabel26404142[[#This Row],[Materiaalconditie ]],Tabel26404142[[#This Row],[Marktpotentie ]])/5,2),0)</calculatedColumnFormula>
    </tableColumn>
    <tableColumn id="16" xr3:uid="{EA03B081-8E56-4393-B919-FC4C8DE30DAE}" name="Routeadvies" dataDxfId="371">
      <calculatedColumnFormula>IF(Tabel26404142[[#This Row],[PRR]]="","Handmatig beoordelen",IF(Tabel26404142[[#This Row],[PRR]]&gt;=0.7,"Hergebruik &gt; recycling",IF(Tabel26404142[[#This Row],[PRR]]&gt;=0.25,"Recycling","Handmatig beoordelen")))</calculatedColumnFormula>
    </tableColumn>
    <tableColumn id="14" xr3:uid="{E7AB0EF7-570A-42B3-B3A8-E28D58C8C908}" name="Grenswaarde" dataDxfId="370">
      <calculatedColumnFormula>IF(Tabel26404142[[#This Row],[Routeadvies]]="Hergebruik","Niet standaard toegepast",IF(Tabel26404142[[#This Row],[Routeadvies]]="Hergebruik &gt; recycling","&gt;= 0,7",IF(Tabel26404142[[#This Row],[Routeadvies]]="Recycling","&gt;= 0,25 en &lt; 0,7",IF(Tabel26404142[[#This Row],[Routeadvies]]="Handmatig beoordelen","&lt; 0,25 of geen score",""))))</calculatedColumnFormula>
    </tableColumn>
    <tableColumn id="22" xr3:uid="{962DF5F3-4678-4386-9A8F-F8FC54D3B0D8}" name="Klasse" dataDxfId="369">
      <calculatedColumnFormula>IF($B51="Totaal","Totaal",IF(OR($B51="Installaties",$B51="Technische ruimte",$B51="Verdeelkast",$B51="Meterkast",$B51="Bliksemafleiding",$B51="Leidingnetten"),"Bijzonder koper",IF($G51="","Handmatig beoordelen",IF($G51&gt;=4,"Rood koper",IF($G51&gt;=3,"Knip koper",IF($G51&gt;0,"Geel koper / Messing","Kabels inclusief isolatie"))))))</calculatedColumnFormula>
    </tableColumn>
    <tableColumn id="11" xr3:uid="{682567F0-93B2-4E1A-BB67-D95A738CE55D}" name="Tot. nieuw CO2 (kg)" dataDxfId="368">
      <calculatedColumnFormula>IFERROR(Tabel26404142[[#This Row],[BIM-volume m³]]*Koper!$N$3+Tabel26404142[[#This Row],[BIM-volume m³]]*Tabel26404142[[#This Row],[Transport Impact]]*IF(Tabel26404142[[#This Row],[Transportafstand (km)]]="",0,Tabel26404142[[#This Row],[Transportafstand (km)]]),0)</calculatedColumnFormula>
    </tableColumn>
    <tableColumn id="6" xr3:uid="{CB8BE653-754D-4147-B75C-F783C31B3A86}" name="Tot. hergebruik CO2 (kg)" dataDxfId="367">
      <calculatedColumnFormula>IFERROR(Tabel26404142[[#This Row],[BIM-volume m³]]*Koper!$O$3+Tabel26404142[[#This Row],[BIM-volume m³]]*Tabel26404142[[#This Row],[Transport Impact]]*IF(Tabel26404142[[#This Row],[Transportafstand (km)]]="",0,Tabel26404142[[#This Row],[Transportafstand (km)]]),0)</calculatedColumnFormula>
    </tableColumn>
    <tableColumn id="5" xr3:uid="{944911A6-65B2-4BAF-8741-93E28A58CA40}" name="Tot. recycling Co2 (kg)" dataDxfId="366">
      <calculatedColumnFormula>IFERROR(Tabel26404142[[#This Row],[BIM-volume m³]]*Koper!$P$3+Tabel26404142[[#This Row],[BIM-volume m³]]*Tabel26404142[[#This Row],[Transport Impact]]*IF(Tabel26404142[[#This Row],[Transportafstand (km)]]="",0,Tabel26404142[[#This Row],[Transportafstand (km)]]),0)</calculatedColumnFormula>
    </tableColumn>
    <tableColumn id="23" xr3:uid="{07C5D796-4793-429B-83E1-0A15BB5A7083}" name="Klimaatbesparing kg CO₂" dataDxfId="365"/>
    <tableColumn id="12" xr3:uid="{E4592808-2063-4222-B300-FAF27A7B6FD3}" name="Routeadvies 2" dataDxfId="364">
      <calculatedColumnFormula>IF(OR($M51="",$M51=0),"Geen beoordeling",IF(AND($N51=0,$O51=0),"Geen beoordeling",IF($N51&lt;$O51,"Hergebruik",IF($O51&lt;$N51,"Recycling","Hergebruik en recycling gelijk"))))</calculatedColumnFormula>
    </tableColumn>
    <tableColumn id="15" xr3:uid="{AAC07BDF-9E64-4674-89C9-4C90A503A3B0}" name="Praktisch terugwinbaar volume m³" dataDxfId="363">
      <calculatedColumnFormula>IFERROR(Tabel26404142[[#This Row],[BIM-volume m³]]*Tabel26404142[[#This Row],[PRR]],0)</calculatedColumnFormula>
    </tableColumn>
    <tableColumn id="24" xr3:uid="{AE4D3A63-BBEE-43C8-BE89-50C48D54B315}" name="Verkoopprijs per m³" dataDxfId="362"/>
    <tableColumn id="25" xr3:uid="{18697FC4-00A0-433C-9D25-D714727CF984}" name="Financiële marktwaarde excl. kosten" dataDxfId="361">
      <calculatedColumnFormula>Tabel26404142[[#This Row],[Praktisch terugwinbaar volume m³]]*Tabel26404142[[#This Row],[Verkoopprijs per m³]]</calculatedColumnFormula>
    </tableColumn>
    <tableColumn id="26" xr3:uid="{6CE324B5-029B-45DE-A80F-03613C6054A0}" name="Recovery hoog?" dataDxfId="360">
      <calculatedColumnFormula>IF(OR($L51="Handmatig beoordelen",$L51="",$L51="Totaal",$I51=""),"Handmatig",IF($I51&gt;=70%,"Ja","Nee"))</calculatedColumnFormula>
    </tableColumn>
    <tableColumn id="27" xr3:uid="{509F065A-080D-46DC-96AE-469F737ECF26}" name="Klimaat positief?" dataDxfId="359">
      <calculatedColumnFormula>IF(OR($L51="Handmatig beoordelen",$L51="",$L51="Totaal",$Q51=""),"Handmatig",IF(OR($Q51="Hergebruik",$Q51="Recycling",$Q51="Hergebruik en recycling",$Q51="Hergebruik en recycling gelijk"),"Ja","Nee"))</calculatedColumnFormula>
    </tableColumn>
    <tableColumn id="28" xr3:uid="{171C52F7-72DD-4F3A-B4AB-E469B23A0905}" name="Financiele positief?" dataDxfId="358">
      <calculatedColumnFormula>IF(OR($L51="Handmatig beoordelen",$L51="",$L51="Totaal"),"Handmatig",IF($T51&gt;0,"Ja","Nee"))</calculatedColumnFormula>
    </tableColumn>
    <tableColumn id="29" xr3:uid="{05158118-0044-4081-A602-08C514EA7A52}" name="Eindbeoordeling" dataDxfId="357">
      <calculatedColumnFormula>IF(OR($U51="Handmatig",$V51="Handmatig",$W51="Handmatig"),"Handmatig beoordelen",IF(COUNTIF($U51:$W51,"Ja")&gt;=2,"Interessant",IF(COUNTIF($U51:$W51,"Ja")=1,"Eigen beoordeling","Niet interessant")))</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A8067A1-62BC-414C-8F43-82DB625EDC6D}" name="Tabel26404139" displayName="Tabel26404139" ref="A38:X48" totalsRowShown="0" headerRowDxfId="356" dataDxfId="354" headerRowBorderDxfId="355" tableBorderDxfId="353" totalsRowBorderDxfId="352">
  <autoFilter ref="A38:X48" xr:uid="{8A8067A1-62BC-414C-8F43-82DB625EDC6D}"/>
  <sortState xmlns:xlrd2="http://schemas.microsoft.com/office/spreadsheetml/2017/richdata2" ref="A39:X48">
    <sortCondition ref="A2:A12"/>
  </sortState>
  <tableColumns count="24">
    <tableColumn id="1" xr3:uid="{82ADA819-D369-4515-A095-B0F6C7644A14}" name="Materiaalstroom" dataDxfId="351" dataCellStyle="Standaard 3"/>
    <tableColumn id="2" xr3:uid="{14217707-57DC-4D46-B87C-98CE0EDEDDFC}" name=" Bouwdeel uit BIM" dataDxfId="350" dataCellStyle="Standaard 3"/>
    <tableColumn id="3" xr3:uid="{0D187ABC-B238-490A-8649-7574FC315BFF}" name="BIM-volume m³" dataDxfId="349">
      <calculatedColumnFormula>'Aluminium-data'!B2</calculatedColumnFormula>
    </tableColumn>
    <tableColumn id="4" xr3:uid="{BD99959A-A3CF-45ED-84C9-5EDC3E8296AF}" name="Transport Impact" dataDxfId="348"/>
    <tableColumn id="7" xr3:uid="{CDD971CC-AA59-485D-A661-96C6F2EFD3BE}" name="Transportafstand (km)" dataDxfId="347"/>
    <tableColumn id="8" xr3:uid="{8F76AC4A-A96E-4016-A720-BD1EBB5F844F}" name="Demonteerbaarheid" dataDxfId="346"/>
    <tableColumn id="9" xr3:uid="{18A09864-C9F8-4921-B3C6-EE7C675DFEAA}" name="Materiaalconditie " dataDxfId="345"/>
    <tableColumn id="10" xr3:uid="{89EAEEC0-AE27-4EE1-B495-155FE5F720FF}" name="Marktpotentie " dataDxfId="344"/>
    <tableColumn id="13" xr3:uid="{D0612951-E173-4411-901D-19099268EBF4}" name="PRR" dataDxfId="343">
      <calculatedColumnFormula>IFERROR(ROUND(AVERAGE(Tabel26404139[[#This Row],[Demonteerbaarheid]],Tabel26404139[[#This Row],[Materiaalconditie ]],Tabel26404139[[#This Row],[Marktpotentie ]])/5,2),0)</calculatedColumnFormula>
    </tableColumn>
    <tableColumn id="16" xr3:uid="{0C852F75-7389-4D2F-AE27-CE063948A7A9}" name="Routeadvies" dataDxfId="342">
      <calculatedColumnFormula>IF(Tabel26404139[[#This Row],[PRR]]="","Handmatig beoordelen",IF(Tabel26404139[[#This Row],[PRR]]&gt;=0.7,"Hergebruik &gt; recycling",IF(Tabel26404139[[#This Row],[PRR]]&gt;=0.25,"Recycling","Handmatig beoordelen")))</calculatedColumnFormula>
    </tableColumn>
    <tableColumn id="14" xr3:uid="{7CF42634-F471-4047-8612-95D4A5C1776D}" name="Grenswaarde" dataDxfId="341">
      <calculatedColumnFormula>IF(Tabel26404139[[#This Row],[Routeadvies]]="Hergebruik","Niet standaard toegepast",IF(Tabel26404139[[#This Row],[Routeadvies]]="Hergebruik &gt; recycling","&gt;= 0,7",IF(Tabel26404139[[#This Row],[Routeadvies]]="Recycling","&gt;= 0,25 en &lt; 0,7",IF(Tabel26404139[[#This Row],[Routeadvies]]="Handmatig beoordelen","&lt; 0,25 of geen score",""))))</calculatedColumnFormula>
    </tableColumn>
    <tableColumn id="22" xr3:uid="{26686129-2E48-4D5C-BA98-C49793B9C107}" name="Klasse" dataDxfId="340">
      <calculatedColumnFormula>IF($B39="Totaal","Totaal",IF(OR($B39="Ramen",$B39="Deuren",$B39="Kozijnen",$B39="Vliesgevels",$B39="Gevelsystemen",$B39="Zonwering",$B39="Trappen"),"Bijzonder aluminium",IF($G39="","Handmatig beoordelen",IF($G39&gt;=4,"A-aluminium",IF($G39&gt;=3,"B-aluminium",IF($G39&gt;0,"C-aluminium","Handmatig beoordelen"))))))</calculatedColumnFormula>
    </tableColumn>
    <tableColumn id="11" xr3:uid="{ECDF3C31-97CE-4139-AC84-D0A3D89BE1EB}" name="Tot. nieuw CO2 (kg)" dataDxfId="339">
      <calculatedColumnFormula>IFERROR(Tabel26404139[[#This Row],[BIM-volume m³]]*Aluminium!$M$3+Tabel26404139[[#This Row],[BIM-volume m³]]*Tabel26404139[[#This Row],[Transport Impact]]*IF(Tabel26404139[[#This Row],[Transportafstand (km)]]="",0,Tabel26404139[[#This Row],[Transportafstand (km)]]),0)</calculatedColumnFormula>
    </tableColumn>
    <tableColumn id="6" xr3:uid="{3FE53A8C-ABAC-4179-898D-112CA1B81C89}" name="Tot. hergebruik CO2 (kg)" dataDxfId="338">
      <calculatedColumnFormula>IFERROR(Tabel26404139[[#This Row],[BIM-volume m³]]*Aluminium!$N$3+Tabel26404139[[#This Row],[BIM-volume m³]]*Tabel26404139[[#This Row],[Transport Impact]]*IF(Tabel26404139[[#This Row],[Transportafstand (km)]]="",0,Tabel26404139[[#This Row],[Transportafstand (km)]]),0)</calculatedColumnFormula>
    </tableColumn>
    <tableColumn id="5" xr3:uid="{CBE713FA-C518-42DA-A82D-C61599531A82}" name="Tot. recycling Co2 (kg)" dataDxfId="337">
      <calculatedColumnFormula>IFERROR(Tabel26404139[[#This Row],[BIM-volume m³]]*Aluminium!$O$3+Tabel26404139[[#This Row],[BIM-volume m³]]*Tabel26404139[[#This Row],[Transport Impact]]*IF(Tabel26404139[[#This Row],[Transportafstand (km)]]="",0,Tabel26404139[[#This Row],[Transportafstand (km)]]),0)</calculatedColumnFormula>
    </tableColumn>
    <tableColumn id="23" xr3:uid="{3C17FCBE-5CCE-4312-A1CB-7E72CCD13A11}" name="Klimaatbesparing kg CO₂" dataDxfId="336"/>
    <tableColumn id="12" xr3:uid="{293C5765-9441-4228-AA9F-C5F6D82C7E83}" name="Routeadvies 2" dataDxfId="335">
      <calculatedColumnFormula>IF(OR($M39="",$M39=0),"Geen beoordeling",IF(AND($N39=0,$O39=0),"Geen beoordeling",IF($N39&lt;$O39,"Hergebruik",IF($O39&lt;$N39,"Recycling","Hergebruik en recycling gelijk"))))</calculatedColumnFormula>
    </tableColumn>
    <tableColumn id="15" xr3:uid="{CB9D98CD-D9F1-445B-87B8-7F1774F3585E}" name="Praktisch terugwinbaar volume m³" dataDxfId="334">
      <calculatedColumnFormula>IFERROR(Tabel26404139[[#This Row],[BIM-volume m³]]*Tabel26404139[[#This Row],[PRR]],0)</calculatedColumnFormula>
    </tableColumn>
    <tableColumn id="24" xr3:uid="{D7E74672-855D-4A42-B751-3C565232326A}" name="Verkoopprijs per m³" dataDxfId="333">
      <calculatedColumnFormula>IFERROR(VLOOKUP(Tabel26404139[[#This Row],[Klasse]],Aluminium!$A$9:$D$12,4,FALSE),0)</calculatedColumnFormula>
    </tableColumn>
    <tableColumn id="25" xr3:uid="{BC145D85-C87B-4952-942A-6CEDDBCCD711}" name="Financiële marktwaarde excl. kosten" dataDxfId="332">
      <calculatedColumnFormula>Tabel26404139[[#This Row],[Praktisch terugwinbaar volume m³]]*Tabel26404139[[#This Row],[Verkoopprijs per m³]]</calculatedColumnFormula>
    </tableColumn>
    <tableColumn id="26" xr3:uid="{739D8BB7-7FEA-4BFD-84AC-C0CB3113EA6D}" name="Recovery hoog?" dataDxfId="331">
      <calculatedColumnFormula>IF(OR($L39="Handmatig beoordelen",$L39="",$L39="Totaal",$I39=""),"Handmatig",IF($I39&gt;=70%,"Ja","Nee"))</calculatedColumnFormula>
    </tableColumn>
    <tableColumn id="27" xr3:uid="{06A7DDDD-BFC1-47A1-9491-FD14479C7B53}" name="Klimaat positief?" dataDxfId="330">
      <calculatedColumnFormula>IF(OR($L39="Handmatig beoordelen",$L39="",$L39="Totaal",$Q39=""),"Handmatig",IF(OR($Q39="Hergebruik",$Q39="Recycling",$Q39="Hergebruik en recycling",$Q39="Hergebruik en recycling gelijk"),"Ja","Nee"))</calculatedColumnFormula>
    </tableColumn>
    <tableColumn id="28" xr3:uid="{6FD0A7A1-56F7-443F-8669-3D8BB878367E}" name="Financiele positief?" dataDxfId="329">
      <calculatedColumnFormula>IF(OR($L39="Handmatig beoordelen",$L39="",$L39="Totaal"),"Handmatig",IF($T39&gt;0,"Ja","Nee"))</calculatedColumnFormula>
    </tableColumn>
    <tableColumn id="29" xr3:uid="{DA244D1B-B67C-4766-919A-C3D4424D00FB}" name="Eindbeoordeling" dataDxfId="328">
      <calculatedColumnFormula>IF(OR($U39="Handmatig",$V39="Handmatig",$W39="Handmatig"),"Handmatig beoordelen",IF(COUNTIF($U39:$W39,"Ja")&gt;=2,"Interessant",IF(COUNTIF($U39:$W39,"Ja")=1,"Eigen beoordeling","Niet interessant")))</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3342A8-273E-4692-916B-3B47515FCEC7}" name="Tabel113" displayName="Tabel113" ref="A2:Y8" headerRowDxfId="327" dataDxfId="325" totalsRowDxfId="323" headerRowBorderDxfId="326" tableBorderDxfId="324">
  <autoFilter ref="A2:Y8" xr:uid="{CB3342A8-273E-4692-916B-3B47515FCE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B04D69C4-83A0-4F4F-8B67-8427AEA29343}" name="Materiaal-ID" dataDxfId="322"/>
    <tableColumn id="36" xr3:uid="{88C255EB-3E74-434D-94AD-51E7F239B255}" name="Element" dataDxfId="321"/>
    <tableColumn id="6" xr3:uid="{DF2CFFDD-CEA1-4CB1-B560-346B9CD35788}" name="Materiaalcategorie" dataDxfId="320"/>
    <tableColumn id="7" xr3:uid="{0AEE070C-36F4-428F-90E1-B11A44651874}" name="Volume (m3)" dataDxfId="319"/>
    <tableColumn id="11" xr3:uid="{23DAEF8D-404B-4F7C-90AB-C30EBA89A173}" name="Demonteerbaarheid" dataDxfId="318"/>
    <tableColumn id="12" xr3:uid="{C22FC991-DAA0-40EF-9C49-AD698E624000}" name="Materiaalconditie " dataDxfId="317"/>
    <tableColumn id="14" xr3:uid="{93079960-F0EF-465C-9DE8-DBF9AEC5D741}" name="Marktpotentie " dataDxfId="316"/>
    <tableColumn id="16" xr3:uid="{837F30D6-CBB0-4A25-BDE3-1B7CFCF1A41E}" name="Gem. score" dataDxfId="315"/>
    <tableColumn id="18" xr3:uid="{35C75860-13F3-42F8-8EC5-746FF50E1D58}" name="Geschatte recovery rate (%)" dataDxfId="314">
      <calculatedColumnFormula>IFERROR(ROUND(Tabel113[[#This Row],[Gem. score]]/5,2),0)</calculatedColumnFormula>
    </tableColumn>
    <tableColumn id="2" xr3:uid="{FBE65C76-D03A-924B-860C-DEB7922977B2}" name="Hout klasse" dataDxfId="313"/>
    <tableColumn id="19" xr3:uid="{0C1AE0EE-06F8-463F-9044-030E298DEB4E}" name="Routeadvies" dataDxfId="312">
      <calculatedColumnFormula>IF(J3="A-hout","Hergebruik",IF(J3="C-hout","Recycling",IF(H3&gt;=4,"Hergebruik","Recycling")))</calculatedColumnFormula>
    </tableColumn>
    <tableColumn id="20" xr3:uid="{88708DCF-EFA7-4F74-B3C7-A30AD8F3562E}" name="Hoog-/laagwaardig" dataDxfId="311">
      <calculatedColumnFormula>IF(I3&gt;=75%,"Hoogwaardig","Laagwaardig")</calculatedColumnFormula>
    </tableColumn>
    <tableColumn id="5" xr3:uid="{78E873B3-4295-4EF4-8127-C340B04F30D2}" name="CO2-nieuw (kg)" dataDxfId="310"/>
    <tableColumn id="27" xr3:uid="{1B15A51E-3F84-43AA-B237-B287E59D8AAD}" name="CO2-Hergebruik (kg)" dataDxfId="309"/>
    <tableColumn id="28" xr3:uid="{2250D292-D1A5-48A8-BE4E-C634F4871350}" name="CO2- recycle (kg)" dataDxfId="308"/>
    <tableColumn id="29" xr3:uid="{8B51E0D4-2184-4887-B456-AD28674B51BC}" name="Transport-impact " dataDxfId="307"/>
    <tableColumn id="30" xr3:uid="{38064C78-04DF-4B12-961C-D6A9DA686AB5}" name="Transport afstand (km)" dataDxfId="306"/>
    <tableColumn id="17" xr3:uid="{DF0E28B4-76E8-470B-A5F2-E89B2701CA7E}" name="Totale CO2 nieuw (kg)" dataDxfId="305">
      <calculatedColumnFormula>Tabel113[[#This Row],[Volume (m3)]]*Tabel113[[#This Row],[CO2-nieuw (kg)]]+Tabel113[[#This Row],[Volume (m3)]]*Tabel113[[#This Row],[Transport-impact ]]*Tabel113[[#This Row],[Transport afstand (km)]]</calculatedColumnFormula>
    </tableColumn>
    <tableColumn id="31" xr3:uid="{6D114541-EBF1-43DB-BD59-55C4D7628A2E}" name="Totale CO2 hergebruik" dataDxfId="304">
      <calculatedColumnFormula>Tabel113[[#This Row],[Volume (m3)]]*Tabel113[[#This Row],[CO2-Hergebruik (kg)]]+Tabel113[[#This Row],[Volume (m3)]]*Tabel113[[#This Row],[Transport-impact ]]*Tabel113[[#This Row],[Transport afstand (km)]]</calculatedColumnFormula>
    </tableColumn>
    <tableColumn id="32" xr3:uid="{958FBD57-C600-4C54-BDF4-ED9B1EEA0B51}" name="Totale Co2 recycling" dataDxfId="303">
      <calculatedColumnFormula>Tabel113[[#This Row],[Volume (m3)]]*Tabel113[[#This Row],[CO2- recycle (kg)]]+Tabel113[[#This Row],[Volume (m3)]]*Tabel113[[#This Row],[Transport-impact ]]*Tabel113[[#This Row],[Transport afstand (km)]]</calculatedColumnFormula>
    </tableColumn>
    <tableColumn id="33" xr3:uid="{C4D8A16D-E43E-4F17-A40D-47384D2D0985}" name="Klimaatbesparing (kg co2)" dataDxfId="302">
      <calculatedColumnFormula>IF(V3="hergebruik",R3-S3,IF(V3="recycling",T3-S3,""))</calculatedColumnFormula>
    </tableColumn>
    <tableColumn id="34" xr3:uid="{0D4E9D5D-C34B-46E6-AC98-7DBF3C464E42}" name="Laagste uitstoot" dataDxfId="301">
      <calculatedColumnFormula>IF(S3=MIN(R3:T3),"Hergebruik",IF(T3=MIN(R3:T3),"Recycling","Nieuw"))</calculatedColumnFormula>
    </tableColumn>
    <tableColumn id="21" xr3:uid="{A19DB01E-2EDD-4493-AB09-873FBC122487}" name="Verkoopbaar volume (m3)" dataDxfId="300">
      <calculatedColumnFormula>Tabel113[[#This Row],[Volume (m3)]]*Tabel113[[#This Row],[Geschatte recovery rate (%)]]</calculatedColumnFormula>
    </tableColumn>
    <tableColumn id="22" xr3:uid="{DA9AB3BC-A000-4980-A353-21F0C73AC72C}" name="Verkoopprijs aan retailer per m³" dataDxfId="299">
      <calculatedColumnFormula>IF($J3="Totaal","",IFERROR(VLOOKUP($J3,Hout!$A$11:$D$14,4,FALSE),0))</calculatedColumnFormula>
    </tableColumn>
    <tableColumn id="23" xr3:uid="{94F4C499-662A-4CBC-974E-1C47704ABBBE}" name="Financiële marktwaarde excl. kosten" dataDxfId="298">
      <calculatedColumnFormula>Tabel113[[#This Row],[Verkoopbaar volume (m3)]]*Tabel113[[#This Row],[Verkoopprijs aan retailer per m³]]</calculatedColumnFormula>
    </tableColumn>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D6D07D-B603-4E7F-B5C3-53CA1A8740BF}" name="Tabel1" displayName="Tabel1" ref="A10:D14" totalsRowShown="0" headerRowDxfId="297" dataDxfId="296">
  <autoFilter ref="A10:D14" xr:uid="{07D6D07D-B603-4E7F-B5C3-53CA1A8740BF}"/>
  <tableColumns count="4">
    <tableColumn id="1" xr3:uid="{D34D8B97-A9DB-45E7-863D-F819E235597B}" name="Houtklasse" dataDxfId="295"/>
    <tableColumn id="2" xr3:uid="{5BB1B243-7E46-470E-A729-B0FCA2A4AD73}" name="Retail hergebruikprijs per m³" dataDxfId="294"/>
    <tableColumn id="3" xr3:uid="{C8C575C6-F4CB-4194-8DB2-B931F807B8B8}" name="Retailer-inkoopfactor" dataDxfId="293"/>
    <tableColumn id="4" xr3:uid="{AEEC5F22-0E1B-4B65-92A5-E2EBD3DFB22A}" name="Verkoopprijs aan retailer per m³" dataDxfId="292">
      <calculatedColumnFormula>Tabel1[[#This Row],[Retailer-inkoopfactor]]*Tabel1[[#This Row],[Retail hergebruikprijs per m³]]</calculatedColumnFormula>
    </tableColumn>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A3D9D3E-FD2D-554F-ADAD-8225108C5097}" name="Tabel32" displayName="Tabel32" ref="A1:D5" totalsRowShown="0" headerRowDxfId="291" dataDxfId="290">
  <autoFilter ref="A1:D5" xr:uid="{EA3D9D3E-FD2D-554F-ADAD-8225108C5097}">
    <filterColumn colId="0" hiddenButton="1"/>
    <filterColumn colId="1" hiddenButton="1"/>
    <filterColumn colId="2" hiddenButton="1"/>
    <filterColumn colId="3" hiddenButton="1"/>
  </autoFilter>
  <tableColumns count="4">
    <tableColumn id="1" xr3:uid="{02F24F00-5D31-A646-9F12-F3C589682CD9}" name="Categorie" dataDxfId="289"/>
    <tableColumn id="2" xr3:uid="{80A75F01-62FE-194F-ABAD-126E523D8297}" name="Betekenis" dataDxfId="288"/>
    <tableColumn id="3" xr3:uid="{BDF3ACEE-1AD3-4C48-A992-E0A4991D3640}" name="Hoe beoordelen?" dataDxfId="287"/>
    <tableColumn id="4" xr3:uid="{CB173D43-EDAE-CB4E-B2B6-D0324486C8CA}" name="Voorbeelden" dataDxfId="286"/>
  </tableColumns>
  <tableStyleInfo name="TableStyleMedium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EAA5883-3F17-48CB-A5ED-D124670500A4}" name="Tabel40" displayName="Tabel40" ref="F1:J5" totalsRowShown="0" headerRowDxfId="285" dataDxfId="284">
  <autoFilter ref="F1:J5" xr:uid="{DEAA5883-3F17-48CB-A5ED-D124670500A4}"/>
  <tableColumns count="5">
    <tableColumn id="1" xr3:uid="{9DB82796-1217-4C64-8B40-610B8568889D}" name="Categorie" dataDxfId="283"/>
    <tableColumn id="2" xr3:uid="{B0D9C2E4-60AA-444E-83CB-53BEED3727AA}" name="Definitie" dataDxfId="282"/>
    <tableColumn id="3" xr3:uid="{D7514112-3165-42A7-B862-9C9055CF75FD}" name="Voorbeelden in gebouwen " dataDxfId="281"/>
    <tableColumn id="4" xr3:uid="{5B3C52E6-9AB7-46BB-B7D2-2F4F639501ED}" name="Bouwdelen" dataDxfId="280"/>
    <tableColumn id="5" xr3:uid="{931CEB22-45C6-40A8-B529-45DC1917FDEF}" name="Typische gebouwtypen" dataDxfId="27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F8D22F-8333-48E2-A692-2417600D8C14}" name="Tabel9" displayName="Tabel9" ref="A7:C11" totalsRowShown="0">
  <autoFilter ref="A7:C11" xr:uid="{63F8D22F-8333-48E2-A692-2417600D8C14}"/>
  <tableColumns count="3">
    <tableColumn id="1" xr3:uid="{05DAF8AD-D7F4-41A5-B8F4-B28DE69DC56C}" name="Hout PRR" dataDxfId="278"/>
    <tableColumn id="2" xr3:uid="{6C38F0CE-2CA6-425E-9BBC-FFBA4331FAD9}" name="Routeadvies" dataDxfId="277"/>
    <tableColumn id="3" xr3:uid="{347DDFD9-F496-421A-A786-3CC35FFD07AB}" name="Onderbouwing" dataDxfId="276"/>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6DA1E8D-5691-4315-8DD4-CF3DB78E3504}" name="Tabel10" displayName="Tabel10" ref="A1:B11" totalsRowShown="0" headerRowDxfId="275" dataDxfId="274">
  <autoFilter ref="A1:B11" xr:uid="{C6DA1E8D-5691-4315-8DD4-CF3DB78E3504}"/>
  <tableColumns count="2">
    <tableColumn id="1" xr3:uid="{DEA3CE9F-670C-4CE7-A461-FBDDA41CD8F2}" name="Herkomst" dataDxfId="273"/>
    <tableColumn id="2" xr3:uid="{50A12525-8DC6-4FD3-9D11-E2C9AD5A6287}" name="Volume (m³)" dataDxfId="272"/>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17" displayName="Tabel17" ref="A2:Y7" headerRowDxfId="271" dataDxfId="269" totalsRowDxfId="267" headerRowBorderDxfId="270" tableBorderDxfId="268">
  <autoFilter ref="A2:Y7" xr:uid="{00000000-0009-0000-0100-000006000000}"/>
  <tableColumns count="25">
    <tableColumn id="1" xr3:uid="{00000000-0010-0000-0500-000001000000}" name="Materiaal-ID" dataDxfId="266"/>
    <tableColumn id="35" xr3:uid="{6BCFEC93-FAB2-8244-B127-A02660DCF0D1}" name="Element" dataDxfId="265"/>
    <tableColumn id="6" xr3:uid="{00000000-0010-0000-0500-000006000000}" name="Materiaalcategorie" dataDxfId="264"/>
    <tableColumn id="7" xr3:uid="{00000000-0010-0000-0500-000007000000}" name="Volume (m3)" dataDxfId="263"/>
    <tableColumn id="11" xr3:uid="{00000000-0010-0000-0500-00000B000000}" name="Demonteerbaarheid" dataDxfId="262"/>
    <tableColumn id="12" xr3:uid="{00000000-0010-0000-0500-00000C000000}" name="Materiaalconditie " dataDxfId="261"/>
    <tableColumn id="14" xr3:uid="{00000000-0010-0000-0500-00000E000000}" name="Marktpotentie " dataDxfId="260"/>
    <tableColumn id="16" xr3:uid="{00000000-0010-0000-0500-000010000000}" name="Gem. score" dataDxfId="259"/>
    <tableColumn id="18" xr3:uid="{00000000-0010-0000-0500-000012000000}" name="Geschatte recovery rate (%)" dataDxfId="258"/>
    <tableColumn id="10" xr3:uid="{CD3571FC-106E-BB45-AB24-C0781FEEB802}" name="Klasse" dataDxfId="257">
      <calculatedColumnFormula>IF(F2="","",IF(F2&gt;=4,"A-Staal",IF(F2&gt;=2.75,"B-Staal","C-Staal")))</calculatedColumnFormula>
    </tableColumn>
    <tableColumn id="19" xr3:uid="{00000000-0010-0000-0500-000013000000}" name="Routeadvies" dataDxfId="256">
      <calculatedColumnFormula>IF(H3&gt;=4,"Hergebruik","Recycling")</calculatedColumnFormula>
    </tableColumn>
    <tableColumn id="20" xr3:uid="{00000000-0010-0000-0500-000014000000}" name="Hoog-/laagwaardig" dataDxfId="255"/>
    <tableColumn id="3" xr3:uid="{F6548F7D-6595-4F35-A590-042120B1D86A}" name="CO2-nieuw (kg)" dataDxfId="254"/>
    <tableColumn id="4" xr3:uid="{33927026-7783-4F37-88ED-A2C11DCF6404}" name="CO2-Hergebruik (kg)" dataDxfId="253"/>
    <tableColumn id="5" xr3:uid="{CBCDF0B9-B0E4-42C4-9A82-A87EFB8EFFBD}" name="CO2- recycle (kg)" dataDxfId="252"/>
    <tableColumn id="8" xr3:uid="{B6D1D46E-93F7-4FD1-B2FE-50E6EF285373}" name="Transport-impact " dataDxfId="251"/>
    <tableColumn id="9" xr3:uid="{C514CED7-C277-4200-ABB2-FE5B75EFEA1B}" name="Transport afstand (km)" dataDxfId="250"/>
    <tableColumn id="15" xr3:uid="{8F498776-8569-424F-8784-AA4929112C1A}" name="Totale CO2 nieuw" dataDxfId="249">
      <calculatedColumnFormula>Tabel17[[#This Row],[Volume (m3)]]*Tabel17[[#This Row],[CO2-nieuw (kg)]]+Tabel17[[#This Row],[Volume (m3)]]*Tabel17[[#This Row],[Transport afstand (km)]]*Tabel17[[#This Row],[Transport-impact ]]</calculatedColumnFormula>
    </tableColumn>
    <tableColumn id="2" xr3:uid="{F35C962D-455C-40A3-9980-88054A88867E}" name="Totale CO2 hergebruik" dataDxfId="248">
      <calculatedColumnFormula>Tabel17[[#This Row],[Volume (m3)]]*Tabel17[[#This Row],[CO2-Hergebruik (kg)]]+Tabel17[[#This Row],[Volume (m3)]]*Tabel17[[#This Row],[Transport-impact ]]*Tabel17[[#This Row],[Transport afstand (km)]]</calculatedColumnFormula>
    </tableColumn>
    <tableColumn id="17" xr3:uid="{F0B0A6BE-CBE5-4E7E-A549-2701CD5A7BF0}" name="Totale Co2 recycling" dataDxfId="247">
      <calculatedColumnFormula>Tabel17[[#This Row],[Volume (m3)]]*Tabel17[[#This Row],[CO2- recycle (kg)]]+Tabel17[[#This Row],[Volume (m3)]]*Tabel17[[#This Row],[Transport-impact ]]*Tabel17[[#This Row],[Transport afstand (km)]]</calculatedColumnFormula>
    </tableColumn>
    <tableColumn id="27" xr3:uid="{A94C6890-8B54-4C63-A393-3A0DCF9E75F4}" name="Klimaatbesparing" dataDxfId="246">
      <calculatedColumnFormula>IF(V3="hergebruik",R3-S3,IF(V3="recycling",T3-S3,""))</calculatedColumnFormula>
    </tableColumn>
    <tableColumn id="28" xr3:uid="{FD74910E-CB97-4D3A-A568-204AA4529B09}" name="Laagste uitstoot" dataDxfId="245">
      <calculatedColumnFormula>IF(S3=MIN(R3:T3),"Hergebruik",IF(T3=MIN(R3:T3),"Recycling","Nieuw"))</calculatedColumnFormula>
    </tableColumn>
    <tableColumn id="29" xr3:uid="{ABC191C2-C089-40A3-8F6F-B9B4CFD3F9C0}" name="Verkoopbaar volume (m3)" dataDxfId="244">
      <calculatedColumnFormula>Tabel17[[#This Row],[Volume (m3)]]*Tabel17[[#This Row],[Geschatte recovery rate (%)]]</calculatedColumnFormula>
    </tableColumn>
    <tableColumn id="21" xr3:uid="{00000000-0010-0000-0500-000015000000}" name="Verkoopprijs aan retailer per m³" dataDxfId="243">
      <calculatedColumnFormula>IFERROR(VLOOKUP(J3,$A$10:$D$13,4,FALSE),0)</calculatedColumnFormula>
    </tableColumn>
    <tableColumn id="22" xr3:uid="{00000000-0010-0000-0500-000016000000}" name="Financiële marktwaarde excl. kosten" dataDxfId="242">
      <calculatedColumnFormula>Tabel17[[#This Row],[Verkoopbaar volume (m3)]]*Tabel17[[#This Row],[Verkoopprijs aan retailer per m³]]</calculatedColumnFormula>
    </tableColumn>
  </tableColumns>
  <tableStyleInfo name="TableStyleMedium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A8BD18A-C9F8-401F-852E-92916E4FE97F}" name="Tabel23" displayName="Tabel23" ref="A9:D13" totalsRowShown="0" headerRowDxfId="241">
  <autoFilter ref="A9:D13" xr:uid="{FA8BD18A-C9F8-401F-852E-92916E4FE97F}"/>
  <tableColumns count="4">
    <tableColumn id="1" xr3:uid="{7BF666E1-8F9F-4BE0-9613-BC6C100141BE}" name="Staalklasse" dataDxfId="240"/>
    <tableColumn id="2" xr3:uid="{21FD8E3D-5C9F-4E0B-B9BE-445C03A7653C}" name="Retail hergebruik-/recyclingprijs per m³" dataDxfId="239"/>
    <tableColumn id="3" xr3:uid="{FA66FEE8-A094-417D-ABF5-13EE0DA90C09}" name="Retailer-inkoopfactor" dataDxfId="238"/>
    <tableColumn id="4" xr3:uid="{551467FC-3389-4F27-AAFA-4DF77A11125E}" name="Verkoopprijs aan retailer per m³" dataDxfId="237">
      <calculatedColumnFormula>Tabel23[[#This Row],[Retailer-inkoopfactor]]*Tabel23[[#This Row],[Retail hergebruik-/recyclingprijs per m³]]</calculatedColumnFormula>
    </tableColumn>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BBBBA0-0C2D-7A4E-9F2F-867878995D33}" name="Tabel20" displayName="Tabel20" ref="A1:D5" totalsRowShown="0" headerRowDxfId="236" dataDxfId="235">
  <autoFilter ref="A1:D5" xr:uid="{C4BBBBA0-0C2D-7A4E-9F2F-867878995D33}"/>
  <tableColumns count="4">
    <tableColumn id="1" xr3:uid="{8F7B3607-9140-5943-8073-2418938CD34E}" name="Categorie" dataDxfId="234"/>
    <tableColumn id="2" xr3:uid="{A3A92E19-AB8B-4740-8C92-98DEE8F993C6}" name="Betekenis" dataDxfId="233"/>
    <tableColumn id="3" xr3:uid="{D7B4E871-DE72-6C46-85C6-BFC34D3CEDDF}" name="Hoe beoordelen?" dataDxfId="232"/>
    <tableColumn id="4" xr3:uid="{9C808D39-1008-0249-96C6-947FB5838145}" name="Voorbeelden" dataDxfId="231"/>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D36578F-E76F-44DA-83B5-FCE759AB1F32}" name="Tabel39" displayName="Tabel39" ref="F1:J5" totalsRowShown="0" headerRowDxfId="230" dataDxfId="229">
  <autoFilter ref="F1:J5" xr:uid="{ED36578F-E76F-44DA-83B5-FCE759AB1F32}"/>
  <tableColumns count="5">
    <tableColumn id="1" xr3:uid="{15F2306C-E6F3-416D-B618-3E75AA78EA47}" name="Categorie" dataDxfId="228"/>
    <tableColumn id="2" xr3:uid="{5AA170A6-D5A5-4728-935C-3D89C1B56BCA}" name="Definitie" dataDxfId="227"/>
    <tableColumn id="3" xr3:uid="{2AB2E2FD-3EAD-4E14-87E6-66072A28502A}" name="Voorbeelden in gebouwen " dataDxfId="226"/>
    <tableColumn id="4" xr3:uid="{713AFB20-78E0-4444-94DF-E7DB48D875FA}" name="Bouwdelen" dataDxfId="225"/>
    <tableColumn id="5" xr3:uid="{7F735A90-0724-4C57-8C1A-1EAF74BDE0DF}" name="Typische gebouwtypen" dataDxfId="22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B5CDC1-2848-4574-96C7-93F76CE459C2}" name="Tabel11" displayName="Tabel11" ref="A7:C11" totalsRowShown="0">
  <autoFilter ref="A7:C11" xr:uid="{7FB5CDC1-2848-4574-96C7-93F76CE459C2}"/>
  <tableColumns count="3">
    <tableColumn id="1" xr3:uid="{E92FF7F1-3851-49BA-A5C0-3CA6CD77EB97}" name="Staal PRR" dataDxfId="223"/>
    <tableColumn id="2" xr3:uid="{F661DCA5-EBDA-49B2-987E-C9EBD081F4C4}" name="Routeadvies" dataDxfId="222"/>
    <tableColumn id="3" xr3:uid="{F66DC5AE-CA0B-498C-A1C3-94484EBCCF6A}" name="Onderbouwing" dataDxfId="221"/>
  </tableColumns>
  <tableStyleInfo name="TableStyleMedium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E20A7FA-3619-4AC0-BCE2-7C29B9916856}" name="Tabel43" displayName="Tabel43" ref="A1:B11" totalsRowShown="0" headerRowDxfId="220" dataDxfId="219">
  <autoFilter ref="A1:B11" xr:uid="{6E20A7FA-3619-4AC0-BCE2-7C29B9916856}"/>
  <tableColumns count="2">
    <tableColumn id="1" xr3:uid="{9F44FC6F-A19B-4592-BEAD-09C18D78C66C}" name="Herkomst" dataDxfId="218"/>
    <tableColumn id="2" xr3:uid="{2069C168-B3C5-42F0-A012-772D78C757B1}" name="Volume (m³)" dataDxfId="217"/>
  </tableColumns>
  <tableStyleInfo name="TableStyleMedium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15" displayName="Tabel15" ref="A2:Y7" headerRowDxfId="216" dataDxfId="214" totalsRowDxfId="212" headerRowBorderDxfId="215" tableBorderDxfId="213">
  <autoFilter ref="A2:Y7" xr:uid="{00000000-0009-0000-0100-000004000000}"/>
  <tableColumns count="25">
    <tableColumn id="1" xr3:uid="{00000000-0010-0000-0300-000001000000}" name="Materiaal-ID" dataDxfId="211"/>
    <tableColumn id="31" xr3:uid="{597D6C9D-63C8-884C-867F-A8B38B0459CD}" name="Element" dataDxfId="210"/>
    <tableColumn id="3" xr3:uid="{00000000-0010-0000-0300-000003000000}" name="Materiaalcategorie" dataDxfId="209"/>
    <tableColumn id="4" xr3:uid="{00000000-0010-0000-0300-000004000000}" name="Volume (m3)" dataDxfId="208"/>
    <tableColumn id="11" xr3:uid="{00000000-0010-0000-0300-00000B000000}" name="Demonteerbaarheid " dataDxfId="207"/>
    <tableColumn id="12" xr3:uid="{00000000-0010-0000-0300-00000C000000}" name="Materiaalconditie " dataDxfId="206"/>
    <tableColumn id="14" xr3:uid="{00000000-0010-0000-0300-00000E000000}" name="Marktpotentie " dataDxfId="205"/>
    <tableColumn id="15" xr3:uid="{00000000-0010-0000-0300-00000F000000}" name="Gem. score" dataDxfId="204"/>
    <tableColumn id="16" xr3:uid="{00000000-0010-0000-0300-000010000000}" name="Geschatte recovery rate (%)" dataDxfId="203"/>
    <tableColumn id="10" xr3:uid="{2C73A478-F519-6247-9F90-DFF41E52BD6E}" name="Klasse" dataDxfId="202"/>
    <tableColumn id="18" xr3:uid="{00000000-0010-0000-0300-000012000000}" name="Routeadvies" dataDxfId="201"/>
    <tableColumn id="19" xr3:uid="{00000000-0010-0000-0300-000013000000}" name="Hoog-/laagwaardig" dataDxfId="200"/>
    <tableColumn id="20" xr3:uid="{00000000-0010-0000-0300-000014000000}" name="CO2-nieuw (kg)" dataDxfId="199"/>
    <tableColumn id="21" xr3:uid="{00000000-0010-0000-0300-000015000000}" name="CO2-Hergebruik (kg)" dataDxfId="198"/>
    <tableColumn id="22" xr3:uid="{00000000-0010-0000-0300-000016000000}" name="CO2- recycle (kg)" dataDxfId="197"/>
    <tableColumn id="23" xr3:uid="{00000000-0010-0000-0300-000017000000}" name="Transport-impact " dataDxfId="196"/>
    <tableColumn id="24" xr3:uid="{00000000-0010-0000-0300-000018000000}" name="Transport afstand (km)" dataDxfId="195"/>
    <tableColumn id="25" xr3:uid="{00000000-0010-0000-0300-000019000000}" name="Totale CO2 nieuw" dataDxfId="194">
      <calculatedColumnFormula>Tabel15[[#This Row],[Volume (m3)]]*Tabel15[[#This Row],[CO2-nieuw (kg)]]+Tabel15[[#This Row],[Volume (m3)]]*Tabel15[[#This Row],[Transport afstand (km)]]*Tabel15[[#This Row],[Transport-impact ]]</calculatedColumnFormula>
    </tableColumn>
    <tableColumn id="26" xr3:uid="{00000000-0010-0000-0300-00001A000000}" name="Totale CO2 hergebruik" dataDxfId="193">
      <calculatedColumnFormula>Tabel15[[#This Row],[Volume (m3)]]*Tabel15[[#This Row],[CO2-Hergebruik (kg)]]+Tabel15[[#This Row],[Volume (m3)]]*Tabel15[[#This Row],[Transport-impact ]]*Tabel15[[#This Row],[Transport afstand (km)]]</calculatedColumnFormula>
    </tableColumn>
    <tableColumn id="2" xr3:uid="{E52B89A7-D6FA-482B-8D45-CD6D94F04A0F}" name="Totale Co2 recycling" dataDxfId="192" totalsRowDxfId="191">
      <calculatedColumnFormula>Tabel15[[#This Row],[Volume (m3)]]*Tabel15[[#This Row],[CO2- recycle (kg)]]+Tabel15[[#This Row],[Volume (m3)]]*Tabel15[[#This Row],[Transport afstand (km)]]*Tabel15[[#This Row],[Transport-impact ]]</calculatedColumnFormula>
    </tableColumn>
    <tableColumn id="5" xr3:uid="{578A112E-51F4-4F58-8DE3-B80376195421}" name="Klimaatbesparing" dataDxfId="190" totalsRowDxfId="189">
      <calculatedColumnFormula>IF(V3="hergebruik",R3-S3,IF(V3="recycling",T3-S3,""))</calculatedColumnFormula>
    </tableColumn>
    <tableColumn id="6" xr3:uid="{E0C3B687-F331-43C9-ADDD-2345E02C535A}" name="Laagste uitstoot" dataDxfId="188" totalsRowDxfId="187">
      <calculatedColumnFormula>IF(S3=MIN(R3:T3),"Hergebruik",IF(T3=MIN(R3:T3),"Recycling","Nieuw"))</calculatedColumnFormula>
    </tableColumn>
    <tableColumn id="7" xr3:uid="{3F0DB81B-43F3-4FD0-AF83-857E0615431C}" name="Verkoopbaar volume (m3)" dataDxfId="186" totalsRowDxfId="185">
      <calculatedColumnFormula>Tabel15[[#This Row],[Volume (m3)]]*Tabel15[[#This Row],[Geschatte recovery rate (%)]]</calculatedColumnFormula>
    </tableColumn>
    <tableColumn id="8" xr3:uid="{996274E4-C7F0-4E8C-9187-2C5E06ED23CA}" name="Verkoopprijs aan retailer per m³" dataDxfId="184" totalsRowDxfId="183">
      <calculatedColumnFormula>IFERROR(VLOOKUP(#REF!,$A$10:$D$13,4,FALSE),0)</calculatedColumnFormula>
    </tableColumn>
    <tableColumn id="9" xr3:uid="{50FF691D-884C-45D7-A0D1-CFFF12967E63}" name="Financiële marktwaarde excl. kosten" dataDxfId="182" totalsRowDxfId="181">
      <calculatedColumnFormula>Tabel15[[#This Row],[Verkoopbaar volume (m3)]]*Tabel15[[#This Row],[Verkoopprijs aan retailer per m³]]</calculatedColumnFormula>
    </tableColumn>
  </tableColumns>
  <tableStyleInfo name="TableStyleMedium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65A1E9A-313B-406E-93BD-835BCB1CC2D9}" name="Tabel28" displayName="Tabel28" ref="A9:D13" totalsRowShown="0" headerRowDxfId="180" dataDxfId="179">
  <autoFilter ref="A9:D13" xr:uid="{D65A1E9A-313B-406E-93BD-835BCB1CC2D9}"/>
  <tableColumns count="4">
    <tableColumn id="1" xr3:uid="{87B136BC-B29D-449E-936A-D2624AE432F3}" name="Betoncategorie" dataDxfId="178"/>
    <tableColumn id="2" xr3:uid="{618F53C7-1529-4859-BF01-F9DAEA60B10D}" name="Richtprijs granulaat / acceptatiebasis per m³" dataDxfId="177"/>
    <tableColumn id="3" xr3:uid="{C3A7989F-25C0-4183-8FD8-795EB17EFB3D}" name="Verwerker-/inkoopfactor" dataDxfId="176"/>
    <tableColumn id="4" xr3:uid="{8EA3BB57-7BFE-4C03-9AA8-9486493DE3E0}" name="Netto verkoopprijs / afgifteprijs per m³" dataDxfId="175">
      <calculatedColumnFormula>Tabel28[[#This Row],[Richtprijs granulaat / acceptatiebasis per m³]]*Tabel28[[#This Row],[Verwerker-/inkoopfactor]]</calculatedColumnFormula>
    </tableColumn>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83535F7-FA19-1642-A865-DD04F9786E4C}" name="Tabel33" displayName="Tabel33" ref="A1:D5" totalsRowShown="0" headerRowDxfId="174" dataDxfId="173">
  <autoFilter ref="A1:D5" xr:uid="{383535F7-FA19-1642-A865-DD04F9786E4C}"/>
  <tableColumns count="4">
    <tableColumn id="1" xr3:uid="{17334E3A-EC75-124B-812B-B4E6E98F991F}" name="Categorie" dataDxfId="172"/>
    <tableColumn id="2" xr3:uid="{0B2E3C41-1106-AF42-BE0F-03915C15BDA5}" name="Betekenis" dataDxfId="171"/>
    <tableColumn id="3" xr3:uid="{0B27F00D-58A9-CB45-956C-53985FCFF2B8}" name="Hoe beoordelen?" dataDxfId="170"/>
    <tableColumn id="4" xr3:uid="{4EA1ED96-EBBE-904E-B0FA-047137CE5D5E}" name="Voorbeelden" dataDxfId="169"/>
  </tableColumns>
  <tableStyleInfo name="TableStyleMedium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A9A98FB-0BC9-4B7A-A943-32F05C44B0DB}" name="Tabel38" displayName="Tabel38" ref="F1:J5" totalsRowShown="0" headerRowDxfId="168" dataDxfId="167">
  <autoFilter ref="F1:J5" xr:uid="{4A9A98FB-0BC9-4B7A-A943-32F05C44B0DB}"/>
  <tableColumns count="5">
    <tableColumn id="1" xr3:uid="{15F92BC1-5CB2-4035-B044-836E63A524CA}" name="Categorie" dataDxfId="166"/>
    <tableColumn id="2" xr3:uid="{D9A2554C-CF18-4A5C-BC62-1061FF0324C1}" name="Definitie" dataDxfId="165"/>
    <tableColumn id="3" xr3:uid="{EE0E6202-EC67-4671-AC08-059C0CFADC6A}" name="Voorbeelden in gebouwen " dataDxfId="164"/>
    <tableColumn id="4" xr3:uid="{3DCF5001-A1A9-4E26-9891-3A9E8787CB3E}" name="Bouwdelen" dataDxfId="163"/>
    <tableColumn id="5" xr3:uid="{0DCF7258-AB8C-4DAF-9C1B-6A78D32ACF6C}" name="Typische gebouwtypen" dataDxfId="162"/>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6C5A363-6A86-484E-996B-1F30CF37D961}" name="Tabel47" displayName="Tabel47" ref="A7:C11" totalsRowShown="0">
  <autoFilter ref="A7:C11" xr:uid="{16C5A363-6A86-484E-996B-1F30CF37D961}"/>
  <tableColumns count="3">
    <tableColumn id="1" xr3:uid="{75B232C3-EA11-4BBB-8447-71B69DC071AF}" name="PRR" dataDxfId="161"/>
    <tableColumn id="2" xr3:uid="{3EDD5F4E-36D4-494E-9AAB-EF92FBE797DB}" name="Routeadvies" dataDxfId="160"/>
    <tableColumn id="3" xr3:uid="{0FF4B013-932B-4716-A916-C3525CBBD24D}" name="Redenering" dataDxfId="159"/>
  </tableColumns>
  <tableStyleInfo name="TableStyleMedium4"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D7A33132-51F8-455D-B20D-89EFD4F4AF67}" name="Tabel44" displayName="Tabel44" ref="A1:B11" totalsRowShown="0" headerRowDxfId="158" dataDxfId="157">
  <autoFilter ref="A1:B11" xr:uid="{D7A33132-51F8-455D-B20D-89EFD4F4AF67}"/>
  <tableColumns count="2">
    <tableColumn id="1" xr3:uid="{C888FE36-6F36-4048-9D38-CF4491E04456}" name="Herkomst" dataDxfId="156"/>
    <tableColumn id="2" xr3:uid="{A84C7E98-B4DA-417A-8713-233CA2E5B708}" name="Volume (m³)" dataDxfId="155"/>
  </tableColumns>
  <tableStyleInfo name="TableStyleMedium4"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14" displayName="Tabel14" ref="A2:Z7" headerRowDxfId="154" dataDxfId="153" totalsRowDxfId="152">
  <autoFilter ref="A2:Z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00000000-0010-0000-0200-000001000000}" name="Materiaal-ID" dataDxfId="151"/>
    <tableColumn id="13" xr3:uid="{F62C9753-D58B-8645-A9F8-06336F02E04C}" name="Element" dataDxfId="150"/>
    <tableColumn id="6" xr3:uid="{FCA4E706-A09B-D043-9931-036910C8CB2D}" name="recycle benaming" dataDxfId="149"/>
    <tableColumn id="2" xr3:uid="{00000000-0010-0000-0200-000002000000}" name="Materiaalcategorie" dataDxfId="148"/>
    <tableColumn id="4" xr3:uid="{E6D7A351-184D-7B4D-B0AD-57F0953AA91A}" name="Klasse" dataDxfId="147"/>
    <tableColumn id="3" xr3:uid="{00000000-0010-0000-0200-000003000000}" name="Volume (m3)" dataDxfId="146"/>
    <tableColumn id="11" xr3:uid="{00000000-0010-0000-0200-00000B000000}" name="Demonteerbaarheid " dataDxfId="145"/>
    <tableColumn id="12" xr3:uid="{00000000-0010-0000-0200-00000C000000}" name="Materiaalconditie " dataDxfId="144"/>
    <tableColumn id="14" xr3:uid="{00000000-0010-0000-0200-00000E000000}" name="Marktpotentie " dataDxfId="143"/>
    <tableColumn id="16" xr3:uid="{00000000-0010-0000-0200-000010000000}" name="Gem. score" dataDxfId="142">
      <calculatedColumnFormula>AVERAGE(Tabel14[[#This Row],[Demonteerbaarheid ]:[Marktpotentie ]])</calculatedColumnFormula>
    </tableColumn>
    <tableColumn id="7" xr3:uid="{FDCC1DC6-609F-40E6-8764-AD52B8C6EE05}" name="Geschatte recovery rate (%)" dataDxfId="141"/>
    <tableColumn id="18" xr3:uid="{00000000-0010-0000-0200-000012000000}" name="Routeadvies" dataDxfId="140">
      <calculatedColumnFormula>IF(E3="A-koper","Hergebruik",IF(E3="C-koper","Recycling",IF(J3&gt;=4,"Hergebruik","Recycling")))</calculatedColumnFormula>
    </tableColumn>
    <tableColumn id="5" xr3:uid="{79F7060C-A19D-4946-A003-627AE3EEFB0D}" name="Hoog-/laagwaardig" dataDxfId="139">
      <calculatedColumnFormula>IF(L3&gt;=75%,"Hoogwaardig","Laagwaardig")</calculatedColumnFormula>
    </tableColumn>
    <tableColumn id="32" xr3:uid="{E8B1F6C4-BDA2-472A-ACD2-C36FF5469BCF}" name="CO2-nieuw (kg)" dataDxfId="138"/>
    <tableColumn id="33" xr3:uid="{B7132F26-8244-4AE9-90F0-701002E54732}" name="CO2-Hergebruik (kg)" dataDxfId="137"/>
    <tableColumn id="36" xr3:uid="{0D5DE62A-900E-4F9C-861E-A2ACA99B0778}" name="CO2- recycle (kg)" dataDxfId="136"/>
    <tableColumn id="34" xr3:uid="{D351059C-FA51-453E-BF4C-A34A997549AF}" name="Transport-impact " dataDxfId="135"/>
    <tableColumn id="17" xr3:uid="{17F1B3A7-775B-4181-8171-96CCFCECD692}" name="Transport afstand (km)" dataDxfId="134">
      <calculatedColumnFormula>1*50</calculatedColumnFormula>
    </tableColumn>
    <tableColumn id="38" xr3:uid="{771D16C4-F0B9-4887-9442-B2F00EA7AF8D}" name="Totale CO2 nieuw" dataDxfId="133">
      <calculatedColumnFormula>#REF!*Tabel14[[#This Row],[CO2-nieuw (kg)]]</calculatedColumnFormula>
    </tableColumn>
    <tableColumn id="39" xr3:uid="{FED26D0A-8C6B-4D87-81FB-8EAB20E7D21A}" name="Totale CO2 hergebruik" dataDxfId="132">
      <calculatedColumnFormula>#REF!*Tabel14[[#This Row],[CO2-Hergebruik (kg)]]+#REF!*Tabel14[[#This Row],[Transport afstand (km)]]*Tabel14[[#This Row],[Transport-impact ]]</calculatedColumnFormula>
    </tableColumn>
    <tableColumn id="37" xr3:uid="{6269FDF1-F66B-43B8-AD08-A1DA5FDA4511}" name="Totale Co2 recycling" dataDxfId="131">
      <calculatedColumnFormula>#REF!*Tabel14[[#This Row],[CO2- recycle (kg)]]+Tabel14[[#This Row],[Transport-impact ]]*Tabel14[[#This Row],[Transport afstand (km)]]*Tabel14[[#This Row],[Totale CO2 hergebruik]]</calculatedColumnFormula>
    </tableColumn>
    <tableColumn id="35" xr3:uid="{01A2CC64-A002-4407-85D9-2177756E922C}" name="Klimaatbesparing" dataDxfId="130">
      <calculatedColumnFormula>IF(W3="hergebruik",S3-T3,IF(W3="recycling",U3-T3,""))</calculatedColumnFormula>
    </tableColumn>
    <tableColumn id="19" xr3:uid="{00000000-0010-0000-0200-000013000000}" name="Laagste uitstoot" dataDxfId="129"/>
    <tableColumn id="20" xr3:uid="{00000000-0010-0000-0200-000014000000}" name="Verkoopbaar volume (m3)" dataDxfId="128">
      <calculatedColumnFormula>IF(OR(F3="",K3=""),"",F3*K3)</calculatedColumnFormula>
    </tableColumn>
    <tableColumn id="21" xr3:uid="{00000000-0010-0000-0200-000015000000}" name="Verkoopprijs aan retailer per m³" dataDxfId="127">
      <calculatedColumnFormula>IFERROR(VLOOKUP(#REF!,$A$13:$D$15,4,FALSE),0)</calculatedColumnFormula>
    </tableColumn>
    <tableColumn id="22" xr3:uid="{00000000-0010-0000-0200-000016000000}" name="Financiële marktwaarde excl. kosten" dataDxfId="126">
      <calculatedColumnFormula>Tabel113[[#This Row],[Verkoopbaar volume (m3)]]*Tabel113[[#This Row],[Verkoopprijs aan retailer per m³]]</calculatedColumnFormula>
    </tableColumn>
  </tableColumns>
  <tableStyleInfo name="TableStyleMedium4"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0058E18-B299-47E1-8C99-166D2CA04BDB}" name="Tabel22" displayName="Tabel22" ref="A9:D13" totalsRowShown="0" headerRowDxfId="125" dataDxfId="123" headerRowBorderDxfId="124" tableBorderDxfId="122" totalsRowBorderDxfId="121">
  <autoFilter ref="A9:D13" xr:uid="{20058E18-B299-47E1-8C99-166D2CA04BDB}"/>
  <tableColumns count="4">
    <tableColumn id="1" xr3:uid="{86353FA8-3FBB-4E01-BF90-FFD1CE8082B3}" name="Koperklasse" dataDxfId="120"/>
    <tableColumn id="2" xr3:uid="{C7D86808-C3B4-4EDE-9037-47E98CB0E559}" name="Retail recyclingprijs per m³" dataDxfId="119"/>
    <tableColumn id="3" xr3:uid="{4446AEDB-A23F-40A6-BEC5-B2C14176F941}" name="Metaalhandel-inkoopfactor" dataDxfId="118"/>
    <tableColumn id="4" xr3:uid="{C5359219-3605-4B83-B170-4330856B8E82}" name="Verkoopprijs aan retailer/metaalhandelaar per m³" dataDxfId="117">
      <calculatedColumnFormula>Tabel22[[#This Row],[Metaalhandel-inkoopfactor]]*Tabel22[[#This Row],[Retail recyclingprijs per m³]]</calculatedColumnFormula>
    </tableColumn>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03C2C54-D893-401A-93EF-2F10DC461395}" name="Tabel24" displayName="Tabel24" ref="A1:C5" totalsRowShown="0">
  <autoFilter ref="A1:C5" xr:uid="{203C2C54-D893-401A-93EF-2F10DC461395}"/>
  <tableColumns count="3">
    <tableColumn id="1" xr3:uid="{EB0AF4F2-9F06-4272-9554-6D6289FA0847}" name="Koperklasse" dataDxfId="116"/>
    <tableColumn id="2" xr3:uid="{7BC54405-9CC2-483E-B42D-EFA1C74005E3}" name="Verkoopprijs per m³" dataDxfId="115"/>
    <tableColumn id="3" xr3:uid="{21539CD2-EC36-45B0-BF49-BCA4F8C6E4C4}" name="Wat betekent dit ongeveer in kg koperwaarde?" dataDxfId="114"/>
  </tableColumns>
  <tableStyleInfo name="TableStyleMedium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FC02876-E7A2-49F1-A329-F6B192F11495}" name="Tabel37" displayName="Tabel37" ref="E1:I5" totalsRowShown="0" headerRowDxfId="113" dataDxfId="112">
  <autoFilter ref="E1:I5" xr:uid="{7FC02876-E7A2-49F1-A329-F6B192F11495}"/>
  <tableColumns count="5">
    <tableColumn id="1" xr3:uid="{960AADE2-C25A-466F-9B11-CAB9B04A42E5}" name="Categorie" dataDxfId="111"/>
    <tableColumn id="2" xr3:uid="{67B3B06D-8ED0-4C0F-93D9-088CCBA81578}" name="Definitie" dataDxfId="110"/>
    <tableColumn id="3" xr3:uid="{5A042FE7-5388-485C-B1DD-F32D6DE019A3}" name="Voorbeelden in gebouwen " dataDxfId="109"/>
    <tableColumn id="4" xr3:uid="{CB4F0C5B-F3D2-4698-B4A1-EBC179B68DA5}" name="Bouwdelen" dataDxfId="108"/>
    <tableColumn id="5" xr3:uid="{938C70D8-C19D-44DD-B11C-4C9CCB83AD56}" name="Typische gebouwtypen" dataDxfId="107"/>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C3CEC5-CE98-4A89-B24C-0E9C0939DD4E}" name="Tabel27" displayName="Tabel27" ref="A7:C10" totalsRowShown="0">
  <autoFilter ref="A7:C10" xr:uid="{B7C3CEC5-CE98-4A89-B24C-0E9C0939DD4E}"/>
  <tableColumns count="3">
    <tableColumn id="1" xr3:uid="{0727F4A3-95D9-4A63-8536-65BF79072D92}" name="Koper PRR" dataDxfId="106"/>
    <tableColumn id="2" xr3:uid="{D6990281-F544-45DA-BCB4-63D2DAA5D1C7}" name="Routeadvies" dataDxfId="105"/>
    <tableColumn id="3" xr3:uid="{B2BBF2AA-DFF8-4F38-AAFA-2220D6FD35BB}" name="Onderbouwing" dataDxfId="104"/>
  </tableColumns>
  <tableStyleInfo name="TableStyleMedium4"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7D9D79C-0286-4A13-82E9-A4DFD087E1C8}" name="Tabel45" displayName="Tabel45" ref="A1:B11" totalsRowShown="0" headerRowDxfId="103" dataDxfId="102">
  <autoFilter ref="A1:B11" xr:uid="{E7D9D79C-0286-4A13-82E9-A4DFD087E1C8}"/>
  <tableColumns count="2">
    <tableColumn id="1" xr3:uid="{1F7D8C50-CB4B-414A-B113-06677A15F69E}" name="Herkomst" dataDxfId="101"/>
    <tableColumn id="2" xr3:uid="{6F807C8A-B1F9-4B76-96B5-53634E109DFA}" name="Volume (m³)" dataDxfId="100"/>
  </tableColumns>
  <tableStyleInfo name="TableStyleMedium4"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16" displayName="Tabel16" ref="A2:Y7" headerRowDxfId="531" dataDxfId="529" totalsRowDxfId="527" headerRowBorderDxfId="530" tableBorderDxfId="528">
  <autoFilter ref="A2:Y7" xr:uid="{00000000-0009-0000-0100-000005000000}"/>
  <tableColumns count="25">
    <tableColumn id="1" xr3:uid="{00000000-0010-0000-0400-000001000000}" name="Materiaal-ID" dataDxfId="526"/>
    <tableColumn id="34" xr3:uid="{4EA44499-D7C1-CC4E-9747-2E8F2DB54ECD}" name="Element" dataDxfId="525"/>
    <tableColumn id="6" xr3:uid="{00000000-0010-0000-0400-000006000000}" name="Materiaalcategorie" dataDxfId="524"/>
    <tableColumn id="7" xr3:uid="{00000000-0010-0000-0400-000007000000}" name="Volume (m3)" dataDxfId="523"/>
    <tableColumn id="11" xr3:uid="{00000000-0010-0000-0400-00000B000000}" name="Demonteerbaarheid " dataDxfId="522"/>
    <tableColumn id="12" xr3:uid="{00000000-0010-0000-0400-00000C000000}" name="Materiaalconditie " dataDxfId="521"/>
    <tableColumn id="14" xr3:uid="{00000000-0010-0000-0400-00000E000000}" name="Marktpotentie " dataDxfId="520"/>
    <tableColumn id="16" xr3:uid="{00000000-0010-0000-0400-000010000000}" name="Gem. score" dataDxfId="519"/>
    <tableColumn id="18" xr3:uid="{00000000-0010-0000-0400-000012000000}" name="Geschatte recovery rate (%)" dataDxfId="518"/>
    <tableColumn id="8" xr3:uid="{D9D5B03B-2790-834D-B26C-E37DFCA20541}" name="Klasse" dataDxfId="517"/>
    <tableColumn id="19" xr3:uid="{00000000-0010-0000-0400-000013000000}" name="Routeadvies" dataDxfId="516"/>
    <tableColumn id="20" xr3:uid="{00000000-0010-0000-0400-000014000000}" name="Hoog-/laagwaardig" dataDxfId="515"/>
    <tableColumn id="21" xr3:uid="{00000000-0010-0000-0400-000015000000}" name="CO2-nieuw (kg)" dataDxfId="514"/>
    <tableColumn id="22" xr3:uid="{00000000-0010-0000-0400-000016000000}" name="CO2-Hergebruik (kg)" dataDxfId="513"/>
    <tableColumn id="23" xr3:uid="{00000000-0010-0000-0400-000017000000}" name="CO2- recycle (kg)" dataDxfId="512"/>
    <tableColumn id="24" xr3:uid="{00000000-0010-0000-0400-000018000000}" name="Transport-impact " dataDxfId="511"/>
    <tableColumn id="25" xr3:uid="{00000000-0010-0000-0400-000019000000}" name="Transport afstand (km)" dataDxfId="510"/>
    <tableColumn id="26" xr3:uid="{00000000-0010-0000-0400-00001A000000}" name="Totale CO2 nieuw" dataDxfId="509">
      <calculatedColumnFormula>Tabel16[[#This Row],[Volume (m3)]]*Tabel16[[#This Row],[CO2-nieuw (kg)]]+Tabel16[[#This Row],[Volume (m3)]]*Tabel16[[#This Row],[Transport-impact ]]*Tabel16[[#This Row],[Transport afstand (km)]]</calculatedColumnFormula>
    </tableColumn>
    <tableColumn id="2" xr3:uid="{2202148C-E4E0-4C64-AAA0-68FD2B375232}" name="Totale CO2 hergebruik" dataDxfId="508" totalsRowDxfId="507"/>
    <tableColumn id="4" xr3:uid="{26004175-3559-4F73-8BE7-CF575B2388C3}" name="Totale Co2 recycling" dataDxfId="506" totalsRowDxfId="505"/>
    <tableColumn id="3" xr3:uid="{BA5046AF-E4D8-4963-8D7E-C4A36169B20D}" name="Klimaatbesparing" dataDxfId="504" totalsRowDxfId="503">
      <calculatedColumnFormula>Tabel16[[#This Row],[Totale CO2 nieuw]]-Tabel16[[#This Row],[Totale CO2 hergebruik]]</calculatedColumnFormula>
    </tableColumn>
    <tableColumn id="5" xr3:uid="{F40575DC-2641-4339-BC9C-2AAECCDF153B}" name="Laagste uitstoot" dataDxfId="502" totalsRowDxfId="501">
      <calculatedColumnFormula>IF(S3=MIN(R3:T3),"Hergebruik",IF(T3=MIN(R3:T3),"Recycling","Nieuw"))</calculatedColumnFormula>
    </tableColumn>
    <tableColumn id="9" xr3:uid="{798818EA-F8F5-4D9E-8382-1FCE7FA8C0DF}" name="Verkoopbaar volume (m3)" dataDxfId="500" totalsRowDxfId="499">
      <calculatedColumnFormula>Tabel16[[#This Row],[Volume (m3)]]*Tabel16[[#This Row],[Geschatte recovery rate (%)]]</calculatedColumnFormula>
    </tableColumn>
    <tableColumn id="10" xr3:uid="{17B7FA05-69B1-408D-9AB4-D6F6919E0A66}" name="Verkoopprijs aan retailer per m³" dataDxfId="498" totalsRowDxfId="497">
      <calculatedColumnFormula>IFERROR(VLOOKUP(J3,$A$10:$D$13,4,FALSE),0)</calculatedColumnFormula>
    </tableColumn>
    <tableColumn id="15" xr3:uid="{D8A13DDC-CAD8-4E7D-8A8B-2890367281BE}" name="Financiële marktwaarde excl. kosten" dataDxfId="496" totalsRowDxfId="495">
      <calculatedColumnFormula>Tabel113[[#This Row],[Verkoopbaar volume (m3)]]*Tabel113[[#This Row],[Verkoopprijs aan retailer per m³]]</calculatedColumnFormula>
    </tableColumn>
  </tableColumns>
  <tableStyleInfo name="TableStyleMedium4"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569235D-C95D-44A0-84A8-EB4D62861B34}" name="Tabel25" displayName="Tabel25" ref="A9:D13" totalsRowShown="0" headerRowDxfId="494" dataDxfId="493">
  <autoFilter ref="A9:D13" xr:uid="{3569235D-C95D-44A0-84A8-EB4D62861B34}"/>
  <tableColumns count="4">
    <tableColumn id="1" xr3:uid="{AB4E012F-AA33-441D-A86F-E95CAF14BAC3}" name="Aluminiumklasse" dataDxfId="492"/>
    <tableColumn id="2" xr3:uid="{4DB8107C-AA8F-405A-A1DE-74F7B113732C}" name="Retail recyclingprijs per m³" dataDxfId="491"/>
    <tableColumn id="3" xr3:uid="{1048D235-874A-4430-8F70-E1573CCAD02E}" name="Metaalhandel-inkoopfactor" dataDxfId="490"/>
    <tableColumn id="4" xr3:uid="{206BF5A2-1D3C-452E-9A60-9956812C37B7}" name="Verkoopprijs aan retailer/metaalhandelaar per m³" dataDxfId="489">
      <calculatedColumnFormula>Tabel25[[#This Row],[Retail recyclingprijs per m³]]*Tabel25[[#This Row],[Metaalhandel-inkoopfactor]]</calculatedColumnFormula>
    </tableColumn>
  </tableColumns>
  <tableStyleInfo name="TableStyleMedium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64E85C2-5153-1F42-B718-F130B7EFC7BA}" name="Tabel34" displayName="Tabel34" ref="A1:D5" totalsRowShown="0" headerRowDxfId="99" dataDxfId="98">
  <autoFilter ref="A1:D5" xr:uid="{164E85C2-5153-1F42-B718-F130B7EFC7BA}">
    <filterColumn colId="0" hiddenButton="1"/>
    <filterColumn colId="1" hiddenButton="1"/>
    <filterColumn colId="2" hiddenButton="1"/>
    <filterColumn colId="3" hiddenButton="1"/>
  </autoFilter>
  <tableColumns count="4">
    <tableColumn id="1" xr3:uid="{1F176F7A-7245-4B46-B9E9-1E34059DB30C}" name="Categorie" dataDxfId="97"/>
    <tableColumn id="2" xr3:uid="{BEB6B162-F031-2741-854B-A95B29069CC0}" name="Betekenis" dataDxfId="96"/>
    <tableColumn id="3" xr3:uid="{AC60BD48-09ED-A947-8370-588ADD9D72E5}" name="Hoe beoordelen?" dataDxfId="95"/>
    <tableColumn id="4" xr3:uid="{614BB8E2-CA4B-D145-9F1C-0B0541149DDA}" name="Voorbeelden" dataDxfId="94"/>
  </tableColumns>
  <tableStyleInfo name="TableStyleMedium4"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042BCB-F93D-4954-964B-EE93D7C8E7BF}" name="Tabel36" displayName="Tabel36" ref="F1:J5" totalsRowShown="0" headerRowDxfId="93" dataDxfId="92">
  <autoFilter ref="F1:J5" xr:uid="{E2042BCB-F93D-4954-964B-EE93D7C8E7BF}"/>
  <tableColumns count="5">
    <tableColumn id="1" xr3:uid="{D2A3D80A-249A-4D0F-9062-03B29F624D51}" name="Categorie" dataDxfId="91"/>
    <tableColumn id="2" xr3:uid="{1E776F10-1D85-4C72-A142-26935E516464}" name="Definitie" dataDxfId="90"/>
    <tableColumn id="3" xr3:uid="{B0B8B2FC-5C9C-4055-8385-E68FE34C6BB7}" name="Voorbeelden in gebouwen " dataDxfId="89"/>
    <tableColumn id="4" xr3:uid="{92F48EF3-DB55-43BB-81B4-10420957C1B2}" name="Bouwdelen" dataDxfId="88"/>
    <tableColumn id="5" xr3:uid="{993FC275-BC46-4FD5-8230-FCD5109CA7D9}" name="Typische gebouwtypen" dataDxfId="87"/>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AFEE4F2-584C-4358-9716-FEA7BFC5B85C}" name="Tabel29" displayName="Tabel29" ref="A7:C10" totalsRowShown="0">
  <autoFilter ref="A7:C10" xr:uid="{5AFEE4F2-584C-4358-9716-FEA7BFC5B85C}"/>
  <tableColumns count="3">
    <tableColumn id="1" xr3:uid="{D3210B1C-ADAB-4D74-B5FF-A269FC97F353}" name="Aluminium PRR" dataDxfId="86"/>
    <tableColumn id="2" xr3:uid="{13E69601-4F97-450C-A0B1-EF28CB362008}" name="Routeadvies" dataDxfId="85"/>
    <tableColumn id="3" xr3:uid="{E0F1815F-80C2-4D28-A0F1-021A240FA741}" name="Onderbouwing" dataDxfId="84"/>
  </tableColumns>
  <tableStyleInfo name="TableStyleMedium4"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BBA5B20-F712-466B-BF53-2F5C0404FAE2}" name="Tabel46" displayName="Tabel46" ref="A1:B11" totalsRowShown="0" headerRowDxfId="83" dataDxfId="82">
  <autoFilter ref="A1:B11" xr:uid="{BBBA5B20-F712-466B-BF53-2F5C0404FAE2}"/>
  <tableColumns count="2">
    <tableColumn id="1" xr3:uid="{5CACF9C8-E021-408A-9F46-3B3D25FDCB7F}" name="Herkomst" dataDxfId="81"/>
    <tableColumn id="2" xr3:uid="{A3F19F40-3983-4241-A055-A6E89128C672}" name="Volume (m³)" dataDxfId="80"/>
  </tableColumns>
  <tableStyleInfo name="TableStyleMedium4"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13" displayName="Tabel13" ref="A2:Y7" headerRowDxfId="79" dataDxfId="77" totalsRowDxfId="75" headerRowBorderDxfId="78" tableBorderDxfId="76">
  <autoFilter ref="A2:Y7" xr:uid="{00000000-0009-0000-0100-000002000000}"/>
  <tableColumns count="25">
    <tableColumn id="1" xr3:uid="{00000000-0010-0000-0100-000001000000}" name="Materiaal-ID" dataDxfId="74"/>
    <tableColumn id="36" xr3:uid="{EB04ED40-55AA-F649-899C-254A292217C8}" name="Element" dataDxfId="73"/>
    <tableColumn id="2" xr3:uid="{2C6AF311-D4AC-43CA-AD4E-09D3750F70B2}" name="Materiaalcategorie" dataDxfId="72"/>
    <tableColumn id="3" xr3:uid="{3A15E93B-CC02-4E78-A580-A7BDD784E77E}" name="Volume (m2)" dataDxfId="71"/>
    <tableColumn id="11" xr3:uid="{00000000-0010-0000-0100-00000B000000}" name="Demonteerbaarheid " dataDxfId="70"/>
    <tableColumn id="12" xr3:uid="{00000000-0010-0000-0100-00000C000000}" name="Materiaalconditie " dataDxfId="69"/>
    <tableColumn id="14" xr3:uid="{00000000-0010-0000-0100-00000E000000}" name="Marktpotentie " dataDxfId="68"/>
    <tableColumn id="16" xr3:uid="{00000000-0010-0000-0100-000010000000}" name="Gem. score" dataDxfId="67"/>
    <tableColumn id="18" xr3:uid="{00000000-0010-0000-0100-000012000000}" name="Geschatte recovery rate (%)" dataDxfId="66">
      <calculatedColumnFormula>IFERROR(ROUND(Tabel16[[#This Row],[Gem. score]]/5,2),0)</calculatedColumnFormula>
    </tableColumn>
    <tableColumn id="37" xr3:uid="{FB6431EA-F214-3740-9ACB-D7F6AA915EAC}" name="Klasse" dataDxfId="65"/>
    <tableColumn id="19" xr3:uid="{00000000-0010-0000-0100-000013000000}" name="Routeadvies" dataDxfId="64">
      <calculatedColumnFormula>IF(D3="A-aluminium","Hergebruik",IF(D3="C-aluminium","Recycling",IF(H3&gt;=4,"Hergebruik","Recycling")))</calculatedColumnFormula>
    </tableColumn>
    <tableColumn id="20" xr3:uid="{00000000-0010-0000-0100-000014000000}" name="Hoog-/laagwaardig" dataDxfId="63"/>
    <tableColumn id="21" xr3:uid="{00000000-0010-0000-0100-000015000000}" name="CO2-nieuw (kg)" dataDxfId="62"/>
    <tableColumn id="22" xr3:uid="{00000000-0010-0000-0100-000016000000}" name="CO2-Hergebruik (kg)" dataDxfId="61"/>
    <tableColumn id="23" xr3:uid="{00000000-0010-0000-0100-000017000000}" name="CO2- recycle (kg)" dataDxfId="60"/>
    <tableColumn id="24" xr3:uid="{00000000-0010-0000-0100-000018000000}" name="Transport-impact " dataDxfId="59"/>
    <tableColumn id="25" xr3:uid="{00000000-0010-0000-0100-000019000000}" name="Transport afstand (km)" dataDxfId="58"/>
    <tableColumn id="5" xr3:uid="{F2392AED-6C6C-404F-8CC6-92CBAEA9718C}" name="Totale CO2 nieuw" dataDxfId="57">
      <calculatedColumnFormula>Tabel13[[#This Row],[Volume (m2)]]*Tabel13[[#This Row],[CO2-nieuw (kg)]]+Tabel13[[#This Row],[Volume (m2)]]*Tabel13[[#This Row],[Transport-impact ]]*Tabel13[[#This Row],[Transport afstand (km)]]</calculatedColumnFormula>
    </tableColumn>
    <tableColumn id="26" xr3:uid="{00000000-0010-0000-0100-00001A000000}" name="Totale CO2 hergebruik" dataDxfId="56"/>
    <tableColumn id="4" xr3:uid="{688148C6-611F-444F-8CB3-6B27FDF1AED2}" name="Totale Co2 recycling" dataDxfId="55" totalsRowDxfId="54"/>
    <tableColumn id="6" xr3:uid="{27B95487-98DA-4E7B-AE2D-36D4B32AE55D}" name="Klimaatbesparing" dataDxfId="53" totalsRowDxfId="52">
      <calculatedColumnFormula>IF(V3="hergebruik",R3-S3,IF(V3="recycling",T3-S3,""))</calculatedColumnFormula>
    </tableColumn>
    <tableColumn id="7" xr3:uid="{D100C493-0B00-4583-91C9-F5B5E69AC95A}" name="Laagste uitstoot" dataDxfId="51" totalsRowDxfId="50">
      <calculatedColumnFormula>IF(S3=MIN(R3:T3),"Hergebruik",IF(T3=MIN(R3:T3),"Recycling","Nieuw"))</calculatedColumnFormula>
    </tableColumn>
    <tableColumn id="8" xr3:uid="{AB4D03F2-DE32-4C9E-95F5-9AE1F1991531}" name="Verkoopbaar volume (m3)" dataDxfId="49" totalsRowDxfId="48">
      <calculatedColumnFormula>Tabel113[[#This Row],[Volume (m3)]]*Tabel113[[#This Row],[Geschatte recovery rate (%)]]</calculatedColumnFormula>
    </tableColumn>
    <tableColumn id="9" xr3:uid="{C9A2C998-B9B2-411B-A035-22DAE82FA4C6}" name="Verkoopprijs aan retailer per m³" dataDxfId="47" totalsRowDxfId="46">
      <calculatedColumnFormula>IFERROR(VLOOKUP(#REF!,$A$18:$D$22,4,FALSE),0)</calculatedColumnFormula>
    </tableColumn>
    <tableColumn id="17" xr3:uid="{9768D20B-45AD-4BA0-9713-B13F501FBD51}" name="Financiële marktwaarde excl. kosten" dataDxfId="45" totalsRowDxfId="44">
      <calculatedColumnFormula>Tabel13[[#This Row],[Verkoopprijs aan retailer per m³]]*Tabel13[[#This Row],[Verkoopbaar volume (m3)]]</calculatedColumnFormula>
    </tableColumn>
  </tableColumns>
  <tableStyleInfo name="TableStyleMedium4"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E3E31F-C992-794A-9C1F-7647DFC102F1}" name="Tabel30" displayName="Tabel30" ref="A1:D5" totalsRowShown="0" headerRowDxfId="43" dataDxfId="42">
  <autoFilter ref="A1:D5" xr:uid="{CFE3E31F-C992-794A-9C1F-7647DFC102F1}">
    <filterColumn colId="0" hiddenButton="1"/>
    <filterColumn colId="1" hiddenButton="1"/>
    <filterColumn colId="2" hiddenButton="1"/>
    <filterColumn colId="3" hiddenButton="1"/>
  </autoFilter>
  <tableColumns count="4">
    <tableColumn id="1" xr3:uid="{02185610-6CEF-344B-A80F-B8A4424BB773}" name="Categorie" dataDxfId="41"/>
    <tableColumn id="2" xr3:uid="{E4B29344-C620-104B-A4F3-72B12AA45A6E}" name="Betekenis" dataDxfId="40"/>
    <tableColumn id="3" xr3:uid="{6325B69F-8379-A64C-8398-BFCFDAD9FDE7}" name="Hoe beoordelen?" dataDxfId="39"/>
    <tableColumn id="4" xr3:uid="{CDFDB39C-B89F-954E-B163-6809F5AAA6D6}" name="Voorbeelden" dataDxfId="38"/>
  </tableColumns>
  <tableStyleInfo name="TableStyleMedium4"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13080F8-5684-47E8-B8D0-405CF0D69380}" name="Tabel35" displayName="Tabel35" ref="F1:J5" totalsRowShown="0" headerRowDxfId="37" dataDxfId="36">
  <autoFilter ref="F1:J5" xr:uid="{713080F8-5684-47E8-B8D0-405CF0D69380}"/>
  <tableColumns count="5">
    <tableColumn id="1" xr3:uid="{91DAFDFD-33F9-4BEA-AD30-CEB29E8EEE87}" name="Categorie" dataDxfId="35"/>
    <tableColumn id="2" xr3:uid="{262F0076-F14D-4BC9-B763-1632D01126D1}" name="Definitie" dataDxfId="34"/>
    <tableColumn id="3" xr3:uid="{CD04C4FE-39C4-4219-9DE0-EE88812C8646}" name="Voorbeelden in gebouwen " dataDxfId="33"/>
    <tableColumn id="4" xr3:uid="{6081282D-0B7F-4BBD-8B14-CAB0B3B26A22}" name="Bouwdelen" dataDxfId="32"/>
    <tableColumn id="5" xr3:uid="{A417B19F-040D-4159-AE00-22C5CA3D5012}" name="Typische gebouwtypen" dataDxfId="31"/>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CDC88F2-4A5C-5146-9A1C-2308AF7A188B}" name="Tabel328" displayName="Tabel328" ref="A1:D5" totalsRowShown="0" headerRowDxfId="30" dataDxfId="29">
  <autoFilter ref="A1:D5" xr:uid="{ECDC88F2-4A5C-5146-9A1C-2308AF7A188B}"/>
  <tableColumns count="4">
    <tableColumn id="1" xr3:uid="{F8ADA1AB-88DE-044F-9E82-24D637FFA732}" name="Categorie" dataDxfId="28"/>
    <tableColumn id="2" xr3:uid="{9E41EC3D-3DBB-EA42-B9BB-3858AD2A1F95}" name="Betekenis" dataDxfId="27"/>
    <tableColumn id="3" xr3:uid="{E897E9DF-9B9B-BA43-9D7F-EAA2611F5237}" name="Hoe beoordelen?" dataDxfId="26"/>
    <tableColumn id="4" xr3:uid="{96E4E070-D1EA-5946-84A6-ED809B085F5A}" name="Voorbeelden" dataDxfId="25"/>
  </tableColumns>
  <tableStyleInfo name="TableStyleMedium4"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F71666-19F4-BD48-B6E2-A5391AA7884D}" name="Tabel3315" displayName="Tabel3315" ref="K1:N5" totalsRowShown="0" headerRowDxfId="24" dataDxfId="23">
  <autoFilter ref="K1:N5" xr:uid="{8DF71666-19F4-BD48-B6E2-A5391AA7884D}"/>
  <tableColumns count="4">
    <tableColumn id="1" xr3:uid="{E672B999-09C7-D746-A5B7-DCD1928D626E}" name="Categorie" dataDxfId="22"/>
    <tableColumn id="2" xr3:uid="{57EFB9EA-F477-BC43-BA30-15E75AFDB74A}" name="Betekenis" dataDxfId="21"/>
    <tableColumn id="3" xr3:uid="{B1487543-CFA9-8446-81A6-5A6DD2855448}" name="Hoe beoordelen?" dataDxfId="20"/>
    <tableColumn id="4" xr3:uid="{A808FA76-664E-CD4A-BBA1-8A75C99B7105}" name="Voorbeelden" dataDxfId="19"/>
  </tableColumns>
  <tableStyleInfo name="TableStyleMedium4"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A5EC416-3D50-404A-8395-CCA01D056F24}" name="Tabel3116" displayName="Tabel3116" ref="P1:T5" totalsRowShown="0" headerRowDxfId="18" dataDxfId="17">
  <autoFilter ref="P1:T5" xr:uid="{7A5EC416-3D50-404A-8395-CCA01D056F24}"/>
  <tableColumns count="5">
    <tableColumn id="1" xr3:uid="{2CB357DD-424E-3C4A-8FA2-7D4B74362B67}" name="Categorie" dataDxfId="16"/>
    <tableColumn id="2" xr3:uid="{EAD1097F-B616-8F43-8515-15FAFAB21BC5}" name="Betekenis" dataDxfId="15"/>
    <tableColumn id="3" xr3:uid="{274120F5-BF1F-224B-921B-E238C2C95573}" name="Hoe beoordelen?" dataDxfId="14"/>
    <tableColumn id="5" xr3:uid="{D8A5132D-AA75-144F-8303-AA7183D7FA50}" name="Categorie voor metaalhandelaar" dataDxfId="13"/>
    <tableColumn id="4" xr3:uid="{F19E7C3B-7A26-3F45-B123-368878792C17}" name="Voorbeelden" dataDxfId="12"/>
  </tableColumns>
  <tableStyleInfo name="TableStyleMedium4"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64E7FC1-5421-584B-9D16-7E0938F40A84}" name="Tabel3417" displayName="Tabel3417" ref="V1:Y5" totalsRowShown="0" headerRowDxfId="11" dataDxfId="10">
  <autoFilter ref="V1:Y5" xr:uid="{A64E7FC1-5421-584B-9D16-7E0938F40A84}"/>
  <tableColumns count="4">
    <tableColumn id="1" xr3:uid="{2D9E25CC-D164-A446-8B21-4B3DDB928C1E}" name="Categorie" dataDxfId="9"/>
    <tableColumn id="2" xr3:uid="{A1F117EC-B487-B745-90C3-18E9DBE553BA}" name="Betekenis" dataDxfId="8"/>
    <tableColumn id="3" xr3:uid="{CB03A10D-5235-A04A-9DBA-3D325D19B3F7}" name="Hoe beoordelen?" dataDxfId="7"/>
    <tableColumn id="4" xr3:uid="{DDC0851D-5D70-F842-817C-4A099111B40E}" name="Voorbeelden" dataDxfId="6"/>
  </tableColumns>
  <tableStyleInfo name="TableStyleMedium4"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019011F-8C17-B249-BF06-19459BDC3819}" name="Tabel3022" displayName="Tabel3022" ref="AA1:AD5" totalsRowShown="0" headerRowDxfId="5" dataDxfId="4">
  <autoFilter ref="AA1:AD5" xr:uid="{7019011F-8C17-B249-BF06-19459BDC3819}"/>
  <tableColumns count="4">
    <tableColumn id="1" xr3:uid="{76C8C223-6C23-8E4A-834C-826FD796DDCB}" name="Categorie" dataDxfId="3"/>
    <tableColumn id="2" xr3:uid="{48DE6611-CD9D-A24C-8515-F9AF030CF114}" name="Betekenis" dataDxfId="2"/>
    <tableColumn id="3" xr3:uid="{3D234B6C-E297-3341-A714-E6C4E8A2F01A}" name="Hoe beoordelen?" dataDxfId="1"/>
    <tableColumn id="4" xr3:uid="{8958F309-1C09-5843-8557-10667B04C920}" name="Voorbeelden" dataDxfId="0"/>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5-18T07:53:00.66" personId="{DE870B2D-43E7-482F-AA70-F330BCC05298}" id="{45A7F0D8-CBD5-495D-867B-4AA695B9EAD0}">
    <text xml:space="preserve">Schoon, recht, goed demontabel staal heeft de beste verkoopbaarheid. </text>
  </threadedComment>
  <threadedComment ref="C11" dT="2026-05-18T07:53:27.54" personId="{DE870B2D-43E7-482F-AA70-F330BCC05298}" id="{EDFFF571-6B94-4B10-8948-3A939EFB1000}">
    <text xml:space="preserve">Nog bruikbaar/recyclebaar, maar lagere factor door coating, roest, vervorming of extra sortering. 
</text>
  </threadedComment>
  <threadedComment ref="C13" dT="2026-05-18T07:54:04.51" personId="{DE870B2D-43E7-482F-AA70-F330BCC05298}" id="{3EC8A630-8926-46B4-992F-D6B0B1177B66}">
    <text xml:space="preserve">Kan waardevol zijn, maar heeft meer onzekerheid door keuring, maatvoering, certificering of beperkte vraag </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6-04-23T14:46:49.96" personId="{DE870B2D-43E7-482F-AA70-F330BCC05298}" id="{866DD78C-7AE0-40F0-9213-99417782EA23}">
    <text>Dit is na overleg met de opdrachtgever 1 /5 ipv 1-5, omdat Het een ja of nee vraag is.</text>
  </threadedComment>
  <threadedComment ref="T2" dT="2026-06-01T11:47:54.39" personId="{DE870B2D-43E7-482F-AA70-F330BCC05298}" id="{629E30A8-C649-401E-9A03-9FA2DEB11149}">
    <text>Kan totale co2 recycling, niet weg omdat het hetzeflde is als hergebruik en hier misschien een kopje van maken</text>
  </threadedComment>
  <threadedComment ref="G4" dT="2026-05-19T07:48:46.70" personId="{DE870B2D-43E7-482F-AA70-F330BCC05298}" id="{FC091E61-462E-4B8B-85D0-F472F594EEEC}">
    <text xml:space="preserve">Schoon betonpuin, ongewapend beton, prefab betonresten, betontegels, betonklinkers 
</text>
  </threadedComment>
  <threadedComment ref="H4" dT="2026-05-19T07:50:12.58" personId="{DE870B2D-43E7-482F-AA70-F330BCC05298}" id="{A77B52EA-DFF3-40FD-92CC-DDBD2688E281}">
    <text xml:space="preserve">Hergebruik of hoogwaardige recycling </text>
  </threadedComment>
  <threadedComment ref="G5" dT="2026-05-19T07:49:44.85" personId="{DE870B2D-43E7-482F-AA70-F330BCC05298}" id="{141F9298-3D80-4B7A-8FD1-491D672DE862}">
    <text xml:space="preserve">Gewapende vloer, betonnen balk, betonnen wand, beton met lichte coating </text>
  </threadedComment>
  <threadedComment ref="H5" dT="2026-05-19T07:49:57.18" personId="{DE870B2D-43E7-482F-AA70-F330BCC05298}" id="{D5B79506-C3BF-4F27-8887-A20CA00D1B52}">
    <text xml:space="preserve">Recycling tot betongranulaat 
</text>
  </threadedComment>
</ThreadedComments>
</file>

<file path=xl/threadedComments/threadedComment3.xml><?xml version="1.0" encoding="utf-8"?>
<ThreadedComments xmlns="http://schemas.microsoft.com/office/spreadsheetml/2018/threadedcomments" xmlns:x="http://schemas.openxmlformats.org/spreadsheetml/2006/main">
  <threadedComment ref="S2" dT="2026-05-04T11:54:43.85" personId="{56DAAD29-C63E-4E50-AE77-01C6F96CADB4}" id="{49B945A8-B3D8-49C8-8525-A0C872ED5BE9}">
    <text xml:space="preserve">Voor de vereglijking van hergebruik/recycling met nieuwe productie om de bespaarde/vermeden co2 duidelijk te maken.  </text>
  </threadedComment>
  <threadedComment ref="H4" dT="2026-05-17T12:26:32.90" personId="{DE870B2D-43E7-482F-AA70-F330BCC05298}" id="{78338529-F088-4291-9D30-65B0F573F248}">
    <text xml:space="preserve">dakgoten in de praktijk vervuild kunnen zijn door oxidatie, soldeer, kit, verfrestanten of aanhangende bevestigingsmaterialen. (Copper Recycling - International Copper Association, 2022) </text>
  </threadedComment>
  <threadedComment ref="I4" dT="2026-05-17T12:31:53.26" personId="{DE870B2D-43E7-482F-AA70-F330BCC05298}" id="{96865A99-3AF0-4675-9D32-C79A953CBCD6}">
    <text xml:space="preserve">(Energy, Climate &amp; Copper, Webinar Series, 2014) 
</text>
  </threadedComment>
  <threadedComment ref="H6" dT="2026-05-17T12:33:12.83" personId="{DE870B2D-43E7-482F-AA70-F330BCC05298}" id="{E28276EC-50DC-4C26-890B-EB8737F35123}">
    <text xml:space="preserve">Geel koper/messing is geen zuiver rood koper, maar een koperlegering. Daarnaast kunnen koppelingen, kalk, soldeer, kunststofresten of andere metalen aanwezig zijn. Daarom ligt de materiaalconditie lager dan bij schoon rood koper. </text>
  </threadedComment>
</ThreadedComments>
</file>

<file path=xl/threadedComments/threadedComment4.xml><?xml version="1.0" encoding="utf-8"?>
<ThreadedComments xmlns="http://schemas.microsoft.com/office/spreadsheetml/2018/threadedcomments" xmlns:x="http://schemas.openxmlformats.org/spreadsheetml/2006/main">
  <threadedComment ref="C4" dT="2026-05-18T09:26:52.89" personId="{DE870B2D-43E7-482F-AA70-F330BCC05298}" id="{20D2F2E3-FD1B-4B74-80E4-23755F4E0EEB}">
    <text xml:space="preserve">omdat profielen en kozijnen vaak mechanisch bevestigd zijn en relatief goed losgemaakt kunnen worden. Geen 5, omdat kit, glas, schroeven, ankers of aansluitdetails extra werk geven </text>
  </threadedComment>
  <threadedComment ref="C7" dT="2026-05-18T09:28:49.99" personId="{DE870B2D-43E7-482F-AA70-F330BCC05298}" id="{8F6A51F4-361B-4E15-B2BD-77FF316F8AE2}">
    <text xml:space="preserve">Demontagebaarheid krijgt 2,5, omdat composiet- of gemengde materialen vaak moeilijker schoon te scheiden zijn. Materiaalconditie krijgt 2,5, omdat het aluminium vermengd kan zijn met kunststof, lijm, coating of andere materialen.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5" Type="http://schemas.openxmlformats.org/officeDocument/2006/relationships/table" Target="../tables/table9.xml"/><Relationship Id="rId4"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vmlDrawing" Target="../drawings/vmlDrawing2.vml"/><Relationship Id="rId1" Type="http://schemas.openxmlformats.org/officeDocument/2006/relationships/drawing" Target="../drawings/drawing2.xml"/><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table" Target="../tables/table1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microsoft.com/office/2017/10/relationships/threadedComment" Target="../threadedComments/threadedComment2.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mments" Target="../comments3.xml"/><Relationship Id="rId5" Type="http://schemas.openxmlformats.org/officeDocument/2006/relationships/table" Target="../tables/table23.xml"/><Relationship Id="rId4" Type="http://schemas.openxmlformats.org/officeDocument/2006/relationships/table" Target="../tables/table22.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table" Target="../tables/table2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vmlDrawing" Target="../drawings/vmlDrawing4.vml"/><Relationship Id="rId1" Type="http://schemas.openxmlformats.org/officeDocument/2006/relationships/drawing" Target="../drawings/drawing4.xml"/><Relationship Id="rId6" Type="http://schemas.microsoft.com/office/2017/10/relationships/threadedComment" Target="../threadedComments/threadedComment3.xml"/><Relationship Id="rId5" Type="http://schemas.openxmlformats.org/officeDocument/2006/relationships/comments" Target="../comments4.xml"/><Relationship Id="rId4"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table" Target="../tables/table3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5.vml"/><Relationship Id="rId1" Type="http://schemas.openxmlformats.org/officeDocument/2006/relationships/drawing" Target="../drawings/drawing5.xml"/><Relationship Id="rId6" Type="http://schemas.microsoft.com/office/2017/10/relationships/threadedComment" Target="../threadedComments/threadedComment4.xml"/><Relationship Id="rId5" Type="http://schemas.openxmlformats.org/officeDocument/2006/relationships/comments" Target="../comments5.xml"/><Relationship Id="rId4" Type="http://schemas.openxmlformats.org/officeDocument/2006/relationships/table" Target="../tables/table3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table" Target="../tables/table3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comments" Target="../comments6.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table" Target="../tables/table43.xml"/><Relationship Id="rId5" Type="http://schemas.openxmlformats.org/officeDocument/2006/relationships/table" Target="../tables/table47.xml"/><Relationship Id="rId4" Type="http://schemas.openxmlformats.org/officeDocument/2006/relationships/table" Target="../tables/table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K33"/>
  <sheetViews>
    <sheetView tabSelected="1" zoomScale="61" zoomScaleNormal="40" workbookViewId="0">
      <selection activeCell="H37" sqref="H37"/>
    </sheetView>
  </sheetViews>
  <sheetFormatPr defaultColWidth="0" defaultRowHeight="14.4" zeroHeight="1"/>
  <cols>
    <col min="1" max="1" width="25.6640625" customWidth="1"/>
    <col min="2" max="2" width="69.44140625" bestFit="1" customWidth="1"/>
    <col min="3" max="3" width="18.6640625" customWidth="1"/>
    <col min="4" max="4" width="20.109375" customWidth="1"/>
    <col min="5" max="5" width="38" customWidth="1"/>
    <col min="6" max="6" width="3.77734375" style="375" customWidth="1"/>
    <col min="7" max="7" width="41.44140625" style="375" bestFit="1" customWidth="1"/>
    <col min="8" max="8" width="96" style="375" customWidth="1"/>
    <col min="9" max="9" width="27.44140625" style="375" bestFit="1" customWidth="1"/>
    <col min="10" max="10" width="48.33203125" style="375" bestFit="1" customWidth="1"/>
    <col min="11" max="11" width="8.77734375" customWidth="1"/>
    <col min="12" max="16384" width="8.77734375" hidden="1"/>
  </cols>
  <sheetData>
    <row r="1" spans="7:11">
      <c r="K1" s="375"/>
    </row>
    <row r="2" spans="7:11">
      <c r="G2" s="40" t="s">
        <v>416</v>
      </c>
      <c r="H2" s="40" t="s">
        <v>417</v>
      </c>
      <c r="K2" s="375"/>
    </row>
    <row r="3" spans="7:11" ht="20.399999999999999" customHeight="1">
      <c r="G3" s="39" t="s">
        <v>418</v>
      </c>
      <c r="H3" s="39" t="s">
        <v>427</v>
      </c>
      <c r="K3" s="375"/>
    </row>
    <row r="4" spans="7:11" ht="29.4" customHeight="1">
      <c r="G4" s="39" t="s">
        <v>422</v>
      </c>
      <c r="H4" s="39" t="s">
        <v>423</v>
      </c>
      <c r="K4" s="375"/>
    </row>
    <row r="5" spans="7:11" ht="28.8">
      <c r="G5" s="39" t="s">
        <v>419</v>
      </c>
      <c r="H5" s="39" t="s">
        <v>431</v>
      </c>
      <c r="K5" s="375"/>
    </row>
    <row r="6" spans="7:11" ht="28.8">
      <c r="G6" s="39" t="s">
        <v>420</v>
      </c>
      <c r="H6" s="39" t="s">
        <v>424</v>
      </c>
      <c r="K6" s="375"/>
    </row>
    <row r="7" spans="7:11" ht="28.8">
      <c r="G7" s="39" t="s">
        <v>425</v>
      </c>
      <c r="H7" s="39" t="s">
        <v>426</v>
      </c>
      <c r="K7" s="375"/>
    </row>
    <row r="8" spans="7:11" ht="14.7" customHeight="1">
      <c r="G8" s="39" t="s">
        <v>2</v>
      </c>
      <c r="H8" s="39" t="s">
        <v>421</v>
      </c>
      <c r="K8" s="375"/>
    </row>
    <row r="9" spans="7:11" ht="14.7" customHeight="1">
      <c r="K9" s="375"/>
    </row>
    <row r="10" spans="7:11" ht="14.7" customHeight="1">
      <c r="K10" s="375"/>
    </row>
    <row r="11" spans="7:11" ht="14.7" customHeight="1">
      <c r="G11" s="2" t="s">
        <v>0</v>
      </c>
      <c r="H11" t="s">
        <v>1</v>
      </c>
      <c r="K11" s="375"/>
    </row>
    <row r="12" spans="7:11" ht="14.7" customHeight="1">
      <c r="G12" s="2" t="s">
        <v>6</v>
      </c>
      <c r="H12" s="46" t="s">
        <v>7</v>
      </c>
      <c r="K12" s="375"/>
    </row>
    <row r="13" spans="7:11" ht="32.4" customHeight="1">
      <c r="G13" s="2" t="s">
        <v>12</v>
      </c>
      <c r="H13" s="46" t="s">
        <v>376</v>
      </c>
      <c r="K13" s="375"/>
    </row>
    <row r="14" spans="7:11" ht="32.4" customHeight="1">
      <c r="G14" s="2" t="s">
        <v>17</v>
      </c>
      <c r="H14" s="46" t="s">
        <v>18</v>
      </c>
      <c r="K14" s="375"/>
    </row>
    <row r="15" spans="7:11" ht="14.7" customHeight="1">
      <c r="G15" s="2" t="s">
        <v>21</v>
      </c>
      <c r="H15" s="46" t="s">
        <v>22</v>
      </c>
      <c r="K15" s="375"/>
    </row>
    <row r="16" spans="7:11">
      <c r="G16" s="2" t="s">
        <v>27</v>
      </c>
      <c r="H16" s="46" t="s">
        <v>28</v>
      </c>
      <c r="K16" s="375"/>
    </row>
    <row r="17" spans="5:11">
      <c r="G17" s="2" t="s">
        <v>29</v>
      </c>
      <c r="H17" s="46"/>
      <c r="K17" s="375"/>
    </row>
    <row r="18" spans="5:11">
      <c r="K18" s="375"/>
    </row>
    <row r="19" spans="5:11">
      <c r="G19" s="39" t="s">
        <v>30</v>
      </c>
      <c r="H19" s="39" t="s">
        <v>31</v>
      </c>
      <c r="K19" s="375"/>
    </row>
    <row r="20" spans="5:11" ht="14.7" customHeight="1">
      <c r="G20" s="39" t="s">
        <v>32</v>
      </c>
      <c r="H20" s="39" t="s">
        <v>33</v>
      </c>
      <c r="K20" s="375"/>
    </row>
    <row r="21" spans="5:11" ht="14.7" customHeight="1">
      <c r="G21" s="39" t="s">
        <v>34</v>
      </c>
      <c r="H21" s="39" t="s">
        <v>35</v>
      </c>
      <c r="K21" s="375"/>
    </row>
    <row r="22" spans="5:11">
      <c r="G22" s="39" t="s">
        <v>36</v>
      </c>
      <c r="H22" s="39" t="s">
        <v>37</v>
      </c>
      <c r="K22" s="375"/>
    </row>
    <row r="23" spans="5:11">
      <c r="K23" s="375"/>
    </row>
    <row r="24" spans="5:11">
      <c r="K24" s="375"/>
    </row>
    <row r="25" spans="5:11" ht="14.7" customHeight="1">
      <c r="K25" s="375"/>
    </row>
    <row r="26" spans="5:11">
      <c r="G26" s="209" t="s">
        <v>377</v>
      </c>
      <c r="H26" s="40" t="s">
        <v>3</v>
      </c>
      <c r="I26" s="40" t="s">
        <v>4</v>
      </c>
      <c r="J26" s="40" t="s">
        <v>5</v>
      </c>
      <c r="K26" s="375"/>
    </row>
    <row r="27" spans="5:11" ht="33.6" customHeight="1">
      <c r="G27" s="209" t="s">
        <v>8</v>
      </c>
      <c r="H27" s="39" t="s">
        <v>9</v>
      </c>
      <c r="I27" s="39" t="s">
        <v>10</v>
      </c>
      <c r="J27" s="39" t="s">
        <v>11</v>
      </c>
      <c r="K27" s="375"/>
    </row>
    <row r="28" spans="5:11" ht="28.8">
      <c r="E28" s="1"/>
      <c r="G28" s="209" t="s">
        <v>13</v>
      </c>
      <c r="H28" s="39" t="s">
        <v>14</v>
      </c>
      <c r="I28" s="39" t="s">
        <v>15</v>
      </c>
      <c r="J28" s="39" t="s">
        <v>16</v>
      </c>
      <c r="K28" s="375"/>
    </row>
    <row r="29" spans="5:11" ht="28.8">
      <c r="G29" s="209" t="s">
        <v>19</v>
      </c>
      <c r="H29" s="39" t="s">
        <v>435</v>
      </c>
      <c r="I29" s="39" t="s">
        <v>434</v>
      </c>
      <c r="J29" s="39" t="s">
        <v>20</v>
      </c>
      <c r="K29" s="375"/>
    </row>
    <row r="30" spans="5:11" ht="28.8">
      <c r="G30" s="209" t="s">
        <v>23</v>
      </c>
      <c r="H30" s="209" t="s">
        <v>24</v>
      </c>
      <c r="I30" s="209" t="s">
        <v>25</v>
      </c>
      <c r="J30" s="209" t="s">
        <v>26</v>
      </c>
      <c r="K30" s="375"/>
    </row>
    <row r="31" spans="5:11">
      <c r="K31" s="375"/>
    </row>
    <row r="32" spans="5:11">
      <c r="K32" s="375"/>
    </row>
    <row r="33" s="375" customFormat="1"/>
  </sheetData>
  <sheetProtection sheet="1" objects="1" scenarios="1" selectLockedCells="1"/>
  <pageMargins left="0.7" right="0.7" top="0.75" bottom="0.75" header="0.3" footer="0.3"/>
  <pageSetup orientation="portrait" r:id="rId1"/>
  <drawing r:id="rId2"/>
  <tableParts count="4">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4B9F-F3D8-4BE4-8A0E-B8B8E9DBB898}">
  <dimension ref="A1:AL145"/>
  <sheetViews>
    <sheetView topLeftCell="A3" zoomScale="90" zoomScaleNormal="90" workbookViewId="0">
      <selection sqref="A1:S1"/>
    </sheetView>
  </sheetViews>
  <sheetFormatPr defaultColWidth="0" defaultRowHeight="14.4" zeroHeight="1"/>
  <cols>
    <col min="1" max="1" width="15.88671875" style="252" customWidth="1"/>
    <col min="2" max="2" width="12.33203125" style="252" customWidth="1"/>
    <col min="3" max="3" width="11" style="252" customWidth="1"/>
    <col min="4" max="4" width="12.6640625" style="252" customWidth="1"/>
    <col min="5" max="5" width="16.6640625" style="252" customWidth="1"/>
    <col min="6" max="6" width="19.77734375" style="252" customWidth="1"/>
    <col min="7" max="7" width="16.44140625" style="252" customWidth="1"/>
    <col min="8" max="8" width="15.21875" style="252" customWidth="1"/>
    <col min="9" max="9" width="10.77734375" style="252" bestFit="1" customWidth="1"/>
    <col min="10" max="10" width="21.109375" style="252" bestFit="1" customWidth="1"/>
    <col min="11" max="11" width="14.6640625" style="252" customWidth="1"/>
    <col min="12" max="12" width="16.88671875" style="252" customWidth="1"/>
    <col min="13" max="13" width="11.33203125" style="252" customWidth="1"/>
    <col min="14" max="14" width="15.21875" style="252" customWidth="1"/>
    <col min="15" max="15" width="14.21875" style="252" customWidth="1"/>
    <col min="16" max="16" width="17.21875" style="252" customWidth="1"/>
    <col min="17" max="17" width="27.88671875" style="252" bestFit="1" customWidth="1"/>
    <col min="18" max="18" width="19.44140625" style="252" customWidth="1"/>
    <col min="19" max="19" width="13.109375" style="252" customWidth="1"/>
    <col min="20" max="20" width="20.44140625" style="252" bestFit="1" customWidth="1"/>
    <col min="21" max="21" width="12.109375" style="252" customWidth="1"/>
    <col min="22" max="22" width="9" style="252" customWidth="1"/>
    <col min="23" max="23" width="12.21875" style="252" customWidth="1"/>
    <col min="24" max="24" width="20.44140625" style="252" bestFit="1" customWidth="1"/>
    <col min="25" max="25" width="2.5546875" style="252" customWidth="1"/>
    <col min="26" max="26" width="17.109375" style="252" hidden="1" customWidth="1"/>
    <col min="27" max="27" width="14.109375" style="252" hidden="1" customWidth="1"/>
    <col min="28" max="28" width="19" style="252" hidden="1" customWidth="1"/>
    <col min="29" max="29" width="13.77734375" style="252" hidden="1" customWidth="1"/>
    <col min="30" max="30" width="19.44140625" style="252" hidden="1" customWidth="1"/>
    <col min="31" max="31" width="16.109375" style="252" hidden="1" customWidth="1"/>
    <col min="32" max="32" width="10.77734375" style="252" hidden="1" customWidth="1"/>
    <col min="33" max="33" width="11.109375" style="252" hidden="1" customWidth="1"/>
    <col min="34" max="34" width="9.77734375" style="252" hidden="1" customWidth="1"/>
    <col min="35" max="38" width="0" style="252" hidden="1" customWidth="1"/>
    <col min="39" max="16384" width="8.77734375" style="252" hidden="1"/>
  </cols>
  <sheetData>
    <row r="1" spans="1:35" ht="25.8">
      <c r="A1" s="359" t="s">
        <v>38</v>
      </c>
      <c r="B1" s="359"/>
      <c r="C1" s="359"/>
      <c r="D1" s="359"/>
      <c r="E1" s="359"/>
      <c r="F1" s="359"/>
      <c r="G1" s="359"/>
      <c r="H1" s="359"/>
      <c r="I1" s="359"/>
      <c r="J1" s="359"/>
      <c r="K1" s="359"/>
      <c r="L1" s="359"/>
      <c r="M1" s="359"/>
      <c r="N1" s="359"/>
      <c r="O1" s="359"/>
      <c r="P1" s="359"/>
      <c r="Q1" s="359"/>
      <c r="R1" s="359"/>
      <c r="S1" s="359"/>
      <c r="T1" s="251"/>
      <c r="U1" s="251"/>
      <c r="V1" s="251"/>
      <c r="W1" s="251"/>
      <c r="X1" s="251"/>
      <c r="Y1" s="251"/>
      <c r="Z1" s="251"/>
      <c r="AA1" s="251"/>
      <c r="AB1" s="251"/>
      <c r="AC1" s="251"/>
      <c r="AD1" s="251"/>
      <c r="AE1" s="251"/>
      <c r="AF1" s="251"/>
      <c r="AG1" s="251"/>
    </row>
    <row r="2" spans="1:35" ht="51" customHeight="1">
      <c r="A2" s="253" t="s">
        <v>39</v>
      </c>
      <c r="B2" s="254" t="s">
        <v>430</v>
      </c>
      <c r="C2" s="254" t="s">
        <v>40</v>
      </c>
      <c r="D2" s="316" t="s">
        <v>41</v>
      </c>
      <c r="E2" s="316" t="s">
        <v>42</v>
      </c>
      <c r="F2" s="317" t="s">
        <v>43</v>
      </c>
      <c r="G2" s="317" t="s">
        <v>44</v>
      </c>
      <c r="H2" s="317" t="s">
        <v>45</v>
      </c>
      <c r="I2" s="254" t="s">
        <v>46</v>
      </c>
      <c r="J2" s="254" t="s">
        <v>30</v>
      </c>
      <c r="K2" s="254" t="s">
        <v>366</v>
      </c>
      <c r="L2" s="254" t="s">
        <v>47</v>
      </c>
      <c r="M2" s="255" t="s">
        <v>428</v>
      </c>
      <c r="N2" s="254" t="s">
        <v>432</v>
      </c>
      <c r="O2" s="254" t="s">
        <v>433</v>
      </c>
      <c r="P2" s="254" t="s">
        <v>51</v>
      </c>
      <c r="Q2" s="254" t="s">
        <v>52</v>
      </c>
      <c r="R2" s="254" t="s">
        <v>53</v>
      </c>
      <c r="S2" s="254" t="s">
        <v>54</v>
      </c>
      <c r="T2" s="254" t="s">
        <v>55</v>
      </c>
      <c r="U2" s="318" t="s">
        <v>19</v>
      </c>
      <c r="V2" s="318" t="s">
        <v>429</v>
      </c>
      <c r="W2" s="318" t="s">
        <v>56</v>
      </c>
      <c r="X2" s="319" t="s">
        <v>23</v>
      </c>
      <c r="Y2" s="257"/>
      <c r="Z2" s="358"/>
      <c r="AA2" s="358"/>
      <c r="AB2" s="358"/>
      <c r="AC2" s="358"/>
      <c r="AD2" s="358"/>
      <c r="AE2" s="358"/>
      <c r="AF2" s="358"/>
      <c r="AG2" s="251"/>
      <c r="AH2" s="251"/>
      <c r="AI2" s="251"/>
    </row>
    <row r="3" spans="1:35" ht="14.7" customHeight="1">
      <c r="A3" s="287" t="s">
        <v>57</v>
      </c>
      <c r="B3" s="288" t="s">
        <v>58</v>
      </c>
      <c r="C3" s="225">
        <f>'Hout-data'!B2</f>
        <v>1.35</v>
      </c>
      <c r="D3" s="225">
        <v>2</v>
      </c>
      <c r="E3" s="226" t="str">
        <f>""</f>
        <v/>
      </c>
      <c r="F3" s="226">
        <f>AVERAGE(F4:F12)</f>
        <v>3.2222222222222223</v>
      </c>
      <c r="G3" s="226">
        <f>AVERAGE(G4:G12)</f>
        <v>3.1111111111111112</v>
      </c>
      <c r="H3" s="226">
        <f>AVERAGE(H4:H12)</f>
        <v>2.4444444444444446</v>
      </c>
      <c r="I3" s="238">
        <f>IFERROR(ROUND(AVERAGE(Tabel26[[#This Row],[Demonteerbaarheid]],Tabel26[[#This Row],[Materiaalconditie ]],Tabel26[[#This Row],[Marktpotentie ]])/5,2),0)</f>
        <v>0.59</v>
      </c>
      <c r="J3" s="237" t="str">
        <f t="shared" ref="J3:J12" si="0">IF(I3="","Handmatig beoordelen",IF(I3&gt;=0.8,"Hergebruik",IF(I3&gt;=0.55,"Hergebruik &gt; recycling",IF(I3&gt;=0.3,"Recycling","Handmatig beoordelen"))))</f>
        <v>Hergebruik &gt; recycling</v>
      </c>
      <c r="K3" s="237" t="str">
        <f>IF(Tabel26[[#This Row],[Routeadvies]]="Hergebruik","&gt;= 0,8",IF(Tabel26[[#This Row],[Routeadvies]]="Hergebruik &gt; recycling","&gt;= 0,55 en &lt; 0,8",IF(Tabel26[[#This Row],[Routeadvies]]="Recycling","&gt;= 0,3 en &lt; 0,55",IF(Tabel26[[#This Row],[Routeadvies]]="Handmatig beoordelen","&lt; 0,3 of geen score",""))))</f>
        <v>&gt;= 0,55 en &lt; 0,8</v>
      </c>
      <c r="L3" s="236" t="str">
        <f t="shared" ref="L3:L12" si="1">IF($B3="Totaal","Totaal",IF($A3="Hout",IF(OR($B3="Trappen",$B3="Ramen",$B3="Deuren",$B3="Kozijnen",$B3="Dakkapellen",$B3="Dakconstructie"),"Bijzonder hout",IF($G3="","Handmatig beoordelen",IF($G3&gt;=4,"A-hout",IF($G3&gt;=3,"B-hout",IF($G3&gt;0,"C-hout","Handmatig beoordelen"))))),IF($A3="Staal",IF(OR($B3="Kolommen",$B3="Balken",$B3="Liggers",$B3="Buisstaalconstructies",$B3="Kozijnen",$B3="Trappen",$B3="Hekwerken",$B3="Leuningen"),"Bijzonder staal",IF($G3="","Handmatig beoordelen",IF($G3&gt;=4,"A-staal",IF($G3&gt;=2,"B-staal",IF($G3&gt;0,"C-staal","Handmatig beoordelen"))))),IF($A3="Beton",IF(OR($B3="Funderingen",$B3="Heipalen",$B3="Prefab elementen",$B3="Kanaalplaatvloeren",$B3="Breedplaatvloeren",$B3="Trappen",$B3="Gevelpanelen"),"Bijzonder beton",IF($G3="","Handmatig beoordelen",IF($G3&gt;=4,"A-beton",IF($G3&gt;=3,"B-beton",IF($G3&gt;0,"C-beton","Handmatig beoordelen"))))),IF(OR($A3="Aluminium",$A3="Alumiunium"),IF(OR($B3="Ramen",$B3="Deuren",$B3="Kozijnen",$B3="Vliesgevels",$B3="Gevelsystemen",$B3="Zonwering",$B3="Trappen"),"Bijzonder aluminium",IF($G3="","Handmatig beoordelen",IF($G3&gt;=4,"A-aluminium",IF($G3&gt;=3,"B-aluminium",IF($G3&gt;0,"C-aluminium","Handmatig beoordelen"))))),IF($A3="Koper",IF(OR($B3="Installaties",$B3="Technische ruimte",$B3="Verdeelkast",$B3="Meterkast",$B3="Bliksemafleiding",$B3="Leidingnetten"),"Bijzonder koper",IF($G3="","Handmatig beoordelen",IF($G3&gt;=4,"A-koper",IF($G3&gt;=3,"B-koper",IF($G3&gt;0,"C-koper","Handmatig beoordelen"))))),IF($A3="Bitumen",IF(OR($B3="Dakopbouw",$B3="Groendak",$B3="Opstanden",$B3="Kimmen",$B3="Aansluitdetails",$B3="Dakdetails"),"Bijzonder bitumen",IF($G3="","Handmatig beoordelen",IF($G3&gt;=4,"A-bitumen",IF($G3&gt;=3,"B-bitumen",IF($G3&gt;0,"C-bitumen","Handmatig beoordelen"))))),"Handmatig beoordelen")))))))</f>
        <v>Totaal</v>
      </c>
      <c r="M3" s="280">
        <f>SUM(M4:M12)</f>
        <v>378</v>
      </c>
      <c r="N3" s="281">
        <f>SUM(N4:N12)</f>
        <v>114.74999999999999</v>
      </c>
      <c r="O3" s="149">
        <f>SUM(O4:O12)</f>
        <v>256.5</v>
      </c>
      <c r="P3" s="49">
        <f>IF(Q3="hergebruik",M3-N3,IF(Q3="recycling",O3-N3,""))</f>
        <v>263.25</v>
      </c>
      <c r="Q3" s="239" t="str">
        <f t="shared" ref="Q3:Q12" si="2">IF(OR($M3="",$M3=0),"Geen beoordeling",IF(AND($N3=0,$O3=0),"Geen beoordeling",IF($N3&lt;$O3,"Hergebruik",IF($O3&lt;$N3,"Recycling","Hergebruik en recycling gelijk"))))</f>
        <v>Hergebruik</v>
      </c>
      <c r="R3" s="236">
        <f>IFERROR(Tabel26[[#This Row],[BIM-volume m³]]*Tabel26[[#This Row],[PRR]],0)</f>
        <v>0.79649999999999999</v>
      </c>
      <c r="S3" s="245">
        <f>IFERROR(VLOOKUP(Tabel26[[#This Row],[Klasse]],Hout!$A$11:$D$14,4,FALSE),0)</f>
        <v>0</v>
      </c>
      <c r="T3" s="314">
        <f t="shared" ref="T3:T12" si="3">R3*S3</f>
        <v>0</v>
      </c>
      <c r="U3" s="282" t="str">
        <f t="shared" ref="U3:U12" si="4">IF(OR($L3="Handmatig beoordelen",$L3="",$L3="Totaal",$I3=""),"Handmatig",IF($I3&gt;=70%,"Ja","Nee"))</f>
        <v>Handmatig</v>
      </c>
      <c r="V3" s="237" t="str">
        <f t="shared" ref="V3:V12" si="5">IF(OR($L3="Handmatig beoordelen",$L3="",$L3="Totaal"),"Handmatig",IF($P3&gt;0,"Ja","Nee"))</f>
        <v>Handmatig</v>
      </c>
      <c r="W3" s="237" t="str">
        <f t="shared" ref="W3:W12" si="6">IF(OR($L3="Handmatig beoordelen",$L3="",$L3="Totaal"),"Handmatig",IF($T3&gt;0,"Ja","Nee"))</f>
        <v>Handmatig</v>
      </c>
      <c r="X3" s="283" t="str">
        <f t="shared" ref="X3:X12" si="7">IF(OR($U3="Handmatig",$V3="Handmatig",$W3="Handmatig"),"Handmatig beoordelen",IF(COUNTIF($U3:$W3,"Ja")&gt;=2,"Interessant",IF(COUNTIF($U3:$W3,"Ja")=1,"Eigen beoordeling","Niet interessant")))</f>
        <v>Handmatig beoordelen</v>
      </c>
      <c r="Y3" s="257"/>
      <c r="Z3" s="313"/>
      <c r="AA3" s="313"/>
      <c r="AB3" s="312"/>
      <c r="AC3" s="313"/>
      <c r="AD3" s="313"/>
      <c r="AE3" s="313"/>
      <c r="AF3" s="313"/>
      <c r="AG3" s="251"/>
      <c r="AH3" s="251"/>
      <c r="AI3" s="251"/>
    </row>
    <row r="4" spans="1:35">
      <c r="A4" s="287" t="s">
        <v>57</v>
      </c>
      <c r="B4" s="235" t="s">
        <v>60</v>
      </c>
      <c r="C4" s="227">
        <f>'Hout-data'!B3</f>
        <v>0</v>
      </c>
      <c r="D4" s="227">
        <v>2</v>
      </c>
      <c r="E4" s="226">
        <v>20</v>
      </c>
      <c r="F4" s="233">
        <v>1</v>
      </c>
      <c r="G4" s="228">
        <v>3</v>
      </c>
      <c r="H4" s="228">
        <v>2</v>
      </c>
      <c r="I4" s="238">
        <f>IFERROR(ROUND(AVERAGE(Tabel26[[#This Row],[Demonteerbaarheid]],Tabel26[[#This Row],[Materiaalconditie ]],Tabel26[[#This Row],[Marktpotentie ]])/5,2),0)</f>
        <v>0.4</v>
      </c>
      <c r="J4" s="237" t="str">
        <f t="shared" si="0"/>
        <v>Recycling</v>
      </c>
      <c r="K4" s="237" t="str">
        <f>IF(Tabel26[[#This Row],[Routeadvies]]="Hergebruik","&gt;= 0,8",IF(Tabel26[[#This Row],[Routeadvies]]="Hergebruik &gt; recycling","&gt;= 0,55 en &lt; 0,8",IF(Tabel26[[#This Row],[Routeadvies]]="Recycling","&gt;= 0,3 en &lt; 0,55",IF(Tabel26[[#This Row],[Routeadvies]]="Handmatig beoordelen","&lt; 0,3 of geen score",""))))</f>
        <v>&gt;= 0,3 en &lt; 0,55</v>
      </c>
      <c r="L4" s="236" t="str">
        <f t="shared" si="1"/>
        <v>B-hout</v>
      </c>
      <c r="M4" s="280">
        <f>IFERROR(Tabel26[[#This Row],[BIM-volume m³]]*INDEX(Tabel113[CO2-nieuw (kg)],1)+Tabel26[[#This Row],[BIM-volume m³]]*INDEX(Tabel113[Transport-impact ],1)*IF(Tabel26[[#This Row],[Transportafstand (km)]]="",0,Tabel26[[#This Row],[Transportafstand (km)]]),0)</f>
        <v>0</v>
      </c>
      <c r="N4" s="281">
        <f>IF(Tabel26[[#This Row],[Klasse]]="Totaal",SUM(M5:M12),IFERROR(Tabel26[[#This Row],[BIM-volume m³]]*INDEX(Tabel113[CO2-Hergebruik (kg)],1)+Tabel26[[#This Row],[BIM-volume m³]]*INDEX(Tabel113[Transport-impact ],1)*IF(Tabel26[[#This Row],[Transportafstand (km)]]="",0,Tabel26[[#This Row],[Transportafstand (km)]]),0))</f>
        <v>0</v>
      </c>
      <c r="O4" s="149">
        <f>IFERROR(Tabel26[[#This Row],[BIM-volume m³]]*INDEX(Tabel113[CO2- recycle (kg)],1)+Tabel26[[#This Row],[BIM-volume m³]]*Tabel26[[#This Row],[Transport Impact]]*IF(Tabel26[[#This Row],[Transportafstand (km)]]="",0,Tabel26[[#This Row],[Transportafstand (km)]]),0)</f>
        <v>0</v>
      </c>
      <c r="P4" s="323">
        <f>IF($B11="Totaal",SUM($O$10),IFERROR(MAX(0,$M4-MIN($N4,$O4)),0))</f>
        <v>0</v>
      </c>
      <c r="Q4" s="239" t="str">
        <f t="shared" si="2"/>
        <v>Geen beoordeling</v>
      </c>
      <c r="R4" s="236">
        <f>IFERROR(Tabel26[[#This Row],[BIM-volume m³]]*Tabel26[[#This Row],[PRR]],0)</f>
        <v>0</v>
      </c>
      <c r="S4" s="224">
        <f>IFERROR(VLOOKUP(Tabel26[[#This Row],[Klasse]],Hout!$A$11:$D$14,4,FALSE),0)</f>
        <v>150</v>
      </c>
      <c r="T4" s="314">
        <f t="shared" si="3"/>
        <v>0</v>
      </c>
      <c r="U4" s="237" t="str">
        <f t="shared" si="4"/>
        <v>Nee</v>
      </c>
      <c r="V4" s="237" t="str">
        <f t="shared" si="5"/>
        <v>Nee</v>
      </c>
      <c r="W4" s="237" t="str">
        <f t="shared" si="6"/>
        <v>Nee</v>
      </c>
      <c r="X4" s="283" t="str">
        <f t="shared" si="7"/>
        <v>Niet interessant</v>
      </c>
      <c r="Y4" s="257"/>
      <c r="Z4" s="311"/>
      <c r="AA4" s="310"/>
      <c r="AB4" s="312"/>
      <c r="AC4" s="311"/>
      <c r="AD4" s="310"/>
      <c r="AE4" s="310"/>
      <c r="AF4" s="309"/>
      <c r="AG4" s="251"/>
      <c r="AH4" s="251"/>
      <c r="AI4" s="251"/>
    </row>
    <row r="5" spans="1:35">
      <c r="A5" s="287" t="s">
        <v>57</v>
      </c>
      <c r="B5" s="235" t="s">
        <v>61</v>
      </c>
      <c r="C5" s="227">
        <f>'Hout-data'!B4</f>
        <v>0</v>
      </c>
      <c r="D5" s="227">
        <v>2</v>
      </c>
      <c r="E5" s="226">
        <v>20</v>
      </c>
      <c r="F5" s="229">
        <v>1</v>
      </c>
      <c r="G5" s="229">
        <v>3</v>
      </c>
      <c r="H5" s="229">
        <v>3</v>
      </c>
      <c r="I5" s="238">
        <f>IFERROR(ROUND(AVERAGE(Tabel26[[#This Row],[Demonteerbaarheid]],Tabel26[[#This Row],[Materiaalconditie ]],Tabel26[[#This Row],[Marktpotentie ]])/5,2),0)</f>
        <v>0.47</v>
      </c>
      <c r="J5" s="237" t="str">
        <f t="shared" si="0"/>
        <v>Recycling</v>
      </c>
      <c r="K5" s="237" t="str">
        <f>IF(Tabel26[[#This Row],[Routeadvies]]="Hergebruik","&gt;= 0,8",IF(Tabel26[[#This Row],[Routeadvies]]="Hergebruik &gt; recycling","&gt;= 0,55 en &lt; 0,8",IF(Tabel26[[#This Row],[Routeadvies]]="Recycling","&gt;= 0,3 en &lt; 0,55",IF(Tabel26[[#This Row],[Routeadvies]]="Handmatig beoordelen","&lt; 0,3 of geen score",""))))</f>
        <v>&gt;= 0,3 en &lt; 0,55</v>
      </c>
      <c r="L5" s="236" t="str">
        <f t="shared" si="1"/>
        <v>B-hout</v>
      </c>
      <c r="M5" s="280">
        <f>IFERROR(Tabel26[[#This Row],[BIM-volume m³]]*INDEX(Tabel113[CO2-nieuw (kg)],1)+Tabel26[[#This Row],[BIM-volume m³]]*INDEX(Tabel113[Transport-impact ],1)*IF(Tabel26[[#This Row],[Transportafstand (km)]]="",0,Tabel26[[#This Row],[Transportafstand (km)]]),0)</f>
        <v>0</v>
      </c>
      <c r="N5" s="281">
        <f>IF(Tabel26[[#This Row],[Klasse]]="Totaal",SUM(M6:M14),IFERROR(Tabel26[[#This Row],[BIM-volume m³]]*INDEX(Tabel113[CO2-Hergebruik (kg)],1)+Tabel26[[#This Row],[BIM-volume m³]]*INDEX(Tabel113[Transport-impact ],1)*IF(Tabel26[[#This Row],[Transportafstand (km)]]="",0,Tabel26[[#This Row],[Transportafstand (km)]]),0))</f>
        <v>0</v>
      </c>
      <c r="O5" s="149">
        <f>IFERROR(Tabel26[[#This Row],[BIM-volume m³]]*INDEX(Tabel113[CO2- recycle (kg)],1)+Tabel26[[#This Row],[BIM-volume m³]]*Tabel26[[#This Row],[Transport Impact]]*IF(Tabel26[[#This Row],[Transportafstand (km)]]="",0,Tabel26[[#This Row],[Transportafstand (km)]]),0)</f>
        <v>0</v>
      </c>
      <c r="P5" s="323">
        <f>IF($B12="Totaal",SUM($O$10),IFERROR(MAX(0,$M5-MIN($N5,$O5)),0))</f>
        <v>0</v>
      </c>
      <c r="Q5" s="239" t="str">
        <f t="shared" si="2"/>
        <v>Geen beoordeling</v>
      </c>
      <c r="R5" s="236">
        <f>IFERROR(Tabel26[[#This Row],[BIM-volume m³]]*Tabel26[[#This Row],[PRR]],0)</f>
        <v>0</v>
      </c>
      <c r="S5" s="245">
        <f>IFERROR(VLOOKUP(Tabel26[[#This Row],[Klasse]],Hout!$A$11:$D$14,4,FALSE),0)</f>
        <v>150</v>
      </c>
      <c r="T5" s="314">
        <f t="shared" si="3"/>
        <v>0</v>
      </c>
      <c r="U5" s="237" t="str">
        <f t="shared" si="4"/>
        <v>Nee</v>
      </c>
      <c r="V5" s="237" t="str">
        <f t="shared" si="5"/>
        <v>Nee</v>
      </c>
      <c r="W5" s="237" t="str">
        <f t="shared" si="6"/>
        <v>Nee</v>
      </c>
      <c r="X5" s="283" t="str">
        <f t="shared" si="7"/>
        <v>Niet interessant</v>
      </c>
      <c r="Y5" s="257"/>
      <c r="Z5" s="311"/>
      <c r="AA5" s="310"/>
      <c r="AB5" s="312"/>
      <c r="AC5" s="311"/>
      <c r="AD5" s="310"/>
      <c r="AE5" s="310"/>
      <c r="AF5" s="309"/>
      <c r="AG5" s="251"/>
      <c r="AH5" s="251"/>
      <c r="AI5" s="251"/>
    </row>
    <row r="6" spans="1:35">
      <c r="A6" s="287" t="s">
        <v>57</v>
      </c>
      <c r="B6" s="235" t="s">
        <v>64</v>
      </c>
      <c r="C6" s="227">
        <f>'Hout-data'!B5</f>
        <v>0</v>
      </c>
      <c r="D6" s="227">
        <v>2</v>
      </c>
      <c r="E6" s="226">
        <v>20</v>
      </c>
      <c r="F6" s="229">
        <v>5</v>
      </c>
      <c r="G6" s="229">
        <v>4</v>
      </c>
      <c r="H6" s="229">
        <v>2</v>
      </c>
      <c r="I6" s="238">
        <f>IFERROR(ROUND(AVERAGE(Tabel26[[#This Row],[Demonteerbaarheid]],Tabel26[[#This Row],[Materiaalconditie ]],Tabel26[[#This Row],[Marktpotentie ]])/5,2),0)</f>
        <v>0.73</v>
      </c>
      <c r="J6" s="237" t="str">
        <f t="shared" si="0"/>
        <v>Hergebruik &gt; recycling</v>
      </c>
      <c r="K6" s="237" t="str">
        <f>IF(Tabel26[[#This Row],[Routeadvies]]="Hergebruik","&gt;= 0,8",IF(Tabel26[[#This Row],[Routeadvies]]="Hergebruik &gt; recycling","&gt;= 0,55 en &lt; 0,8",IF(Tabel26[[#This Row],[Routeadvies]]="Recycling","&gt;= 0,3 en &lt; 0,55",IF(Tabel26[[#This Row],[Routeadvies]]="Handmatig beoordelen","&lt; 0,3 of geen score",""))))</f>
        <v>&gt;= 0,55 en &lt; 0,8</v>
      </c>
      <c r="L6" s="236" t="str">
        <f t="shared" si="1"/>
        <v>A-hout</v>
      </c>
      <c r="M6" s="280">
        <f>IFERROR(Tabel26[[#This Row],[BIM-volume m³]]*INDEX(Tabel113[CO2-nieuw (kg)],1)+Tabel26[[#This Row],[BIM-volume m³]]*INDEX(Tabel113[Transport-impact ],1)*IF(Tabel26[[#This Row],[Transportafstand (km)]]="",0,Tabel26[[#This Row],[Transportafstand (km)]]),0)</f>
        <v>0</v>
      </c>
      <c r="N6" s="281">
        <f>IF(Tabel26[[#This Row],[Klasse]]="Totaal",SUM(M7:M15),IFERROR(Tabel26[[#This Row],[BIM-volume m³]]*INDEX(Tabel113[CO2-Hergebruik (kg)],1)+Tabel26[[#This Row],[BIM-volume m³]]*INDEX(Tabel113[Transport-impact ],1)*IF(Tabel26[[#This Row],[Transportafstand (km)]]="",0,Tabel26[[#This Row],[Transportafstand (km)]]),0))</f>
        <v>0</v>
      </c>
      <c r="O6" s="149">
        <f>IFERROR(Tabel26[[#This Row],[BIM-volume m³]]*INDEX(Tabel113[CO2- recycle (kg)],1)+Tabel26[[#This Row],[BIM-volume m³]]*Tabel26[[#This Row],[Transport Impact]]*IF(Tabel26[[#This Row],[Transportafstand (km)]]="",0,Tabel26[[#This Row],[Transportafstand (km)]]),0)</f>
        <v>0</v>
      </c>
      <c r="P6" s="323">
        <f>IF($B13="Totaal",SUM($O$10),IFERROR(MAX(0,$M6-MIN($N6,$O6)),0))</f>
        <v>0</v>
      </c>
      <c r="Q6" s="239" t="str">
        <f t="shared" si="2"/>
        <v>Geen beoordeling</v>
      </c>
      <c r="R6" s="236">
        <f>IFERROR(Tabel26[[#This Row],[BIM-volume m³]]*Tabel26[[#This Row],[PRR]],0)</f>
        <v>0</v>
      </c>
      <c r="S6" s="245">
        <f>IFERROR(VLOOKUP(Tabel26[[#This Row],[Klasse]],Hout!$A$11:$D$14,4,FALSE),0)</f>
        <v>243.75</v>
      </c>
      <c r="T6" s="314">
        <f t="shared" si="3"/>
        <v>0</v>
      </c>
      <c r="U6" s="237" t="str">
        <f t="shared" si="4"/>
        <v>Ja</v>
      </c>
      <c r="V6" s="237" t="str">
        <f t="shared" si="5"/>
        <v>Nee</v>
      </c>
      <c r="W6" s="237" t="str">
        <f t="shared" si="6"/>
        <v>Nee</v>
      </c>
      <c r="X6" s="283" t="str">
        <f t="shared" si="7"/>
        <v>Eigen beoordeling</v>
      </c>
      <c r="Y6" s="257"/>
      <c r="Z6" s="311"/>
      <c r="AA6" s="309"/>
      <c r="AB6" s="312"/>
      <c r="AC6" s="311"/>
      <c r="AD6" s="310"/>
      <c r="AE6" s="310"/>
      <c r="AF6" s="309"/>
      <c r="AG6" s="251"/>
      <c r="AH6" s="251"/>
      <c r="AI6" s="251"/>
    </row>
    <row r="7" spans="1:35">
      <c r="A7" s="287" t="s">
        <v>57</v>
      </c>
      <c r="B7" s="235" t="s">
        <v>67</v>
      </c>
      <c r="C7" s="227">
        <f>'Hout-data'!B6</f>
        <v>0</v>
      </c>
      <c r="D7" s="227">
        <v>2</v>
      </c>
      <c r="E7" s="226">
        <v>20</v>
      </c>
      <c r="F7" s="229">
        <v>5</v>
      </c>
      <c r="G7" s="229">
        <v>3</v>
      </c>
      <c r="H7" s="229">
        <v>3</v>
      </c>
      <c r="I7" s="238">
        <f>IFERROR(ROUND(AVERAGE(Tabel26[[#This Row],[Demonteerbaarheid]],Tabel26[[#This Row],[Materiaalconditie ]],Tabel26[[#This Row],[Marktpotentie ]])/5,2),0)</f>
        <v>0.73</v>
      </c>
      <c r="J7" s="237" t="str">
        <f t="shared" si="0"/>
        <v>Hergebruik &gt; recycling</v>
      </c>
      <c r="K7" s="237" t="str">
        <f>IF(Tabel26[[#This Row],[Routeadvies]]="Hergebruik","&gt;= 0,8",IF(Tabel26[[#This Row],[Routeadvies]]="Hergebruik &gt; recycling","&gt;= 0,55 en &lt; 0,8",IF(Tabel26[[#This Row],[Routeadvies]]="Recycling","&gt;= 0,3 en &lt; 0,55",IF(Tabel26[[#This Row],[Routeadvies]]="Handmatig beoordelen","&lt; 0,3 of geen score",""))))</f>
        <v>&gt;= 0,55 en &lt; 0,8</v>
      </c>
      <c r="L7" s="236" t="str">
        <f t="shared" si="1"/>
        <v>Bijzonder hout</v>
      </c>
      <c r="M7" s="280">
        <f>IFERROR(Tabel26[[#This Row],[BIM-volume m³]]*INDEX(Tabel113[CO2-nieuw (kg)],1)+Tabel26[[#This Row],[BIM-volume m³]]*INDEX(Tabel113[Transport-impact ],1)*IF(Tabel26[[#This Row],[Transportafstand (km)]]="",0,Tabel26[[#This Row],[Transportafstand (km)]]),0)</f>
        <v>0</v>
      </c>
      <c r="N7" s="281">
        <f>IF(Tabel26[[#This Row],[Klasse]]="Totaal",SUM(M8:M16),IFERROR(Tabel26[[#This Row],[BIM-volume m³]]*INDEX(Tabel113[CO2-Hergebruik (kg)],1)+Tabel26[[#This Row],[BIM-volume m³]]*INDEX(Tabel113[Transport-impact ],1)*IF(Tabel26[[#This Row],[Transportafstand (km)]]="",0,Tabel26[[#This Row],[Transportafstand (km)]]),0))</f>
        <v>0</v>
      </c>
      <c r="O7" s="149">
        <f>IFERROR(Tabel26[[#This Row],[BIM-volume m³]]*INDEX(Tabel113[CO2- recycle (kg)],1)+Tabel26[[#This Row],[BIM-volume m³]]*Tabel26[[#This Row],[Transport Impact]]*IF(Tabel26[[#This Row],[Transportafstand (km)]]="",0,Tabel26[[#This Row],[Transportafstand (km)]]),0)</f>
        <v>0</v>
      </c>
      <c r="P7" s="323">
        <f>IF($B14="Totaal",SUM($O$10),IFERROR(MAX(0,$M7-MIN($N7,$O7)),0))</f>
        <v>0</v>
      </c>
      <c r="Q7" s="239" t="str">
        <f t="shared" si="2"/>
        <v>Geen beoordeling</v>
      </c>
      <c r="R7" s="236">
        <f>IFERROR(Tabel26[[#This Row],[BIM-volume m³]]*Tabel26[[#This Row],[PRR]],0)</f>
        <v>0</v>
      </c>
      <c r="S7" s="245">
        <f>IFERROR(VLOOKUP(Tabel26[[#This Row],[Klasse]],Hout!$A$11:$D$14,4,FALSE),0)</f>
        <v>900</v>
      </c>
      <c r="T7" s="314">
        <f t="shared" si="3"/>
        <v>0</v>
      </c>
      <c r="U7" s="237" t="str">
        <f t="shared" si="4"/>
        <v>Ja</v>
      </c>
      <c r="V7" s="237" t="str">
        <f t="shared" si="5"/>
        <v>Nee</v>
      </c>
      <c r="W7" s="237" t="str">
        <f t="shared" si="6"/>
        <v>Nee</v>
      </c>
      <c r="X7" s="283" t="str">
        <f t="shared" si="7"/>
        <v>Eigen beoordeling</v>
      </c>
      <c r="Y7" s="257"/>
      <c r="Z7" s="311"/>
      <c r="AA7" s="309"/>
      <c r="AB7" s="312"/>
      <c r="AC7" s="311"/>
      <c r="AD7" s="310"/>
      <c r="AE7" s="310"/>
      <c r="AF7" s="309"/>
      <c r="AG7" s="251"/>
      <c r="AH7" s="251"/>
      <c r="AI7" s="251"/>
    </row>
    <row r="8" spans="1:35">
      <c r="A8" s="287" t="s">
        <v>57</v>
      </c>
      <c r="B8" s="235" t="s">
        <v>68</v>
      </c>
      <c r="C8" s="227">
        <f>'Hout-data'!B7</f>
        <v>0.17</v>
      </c>
      <c r="D8" s="227">
        <v>2</v>
      </c>
      <c r="E8" s="226">
        <v>20</v>
      </c>
      <c r="F8" s="229">
        <v>1</v>
      </c>
      <c r="G8" s="229">
        <v>3</v>
      </c>
      <c r="H8" s="229">
        <v>2</v>
      </c>
      <c r="I8" s="238">
        <f>IFERROR(ROUND(AVERAGE(Tabel26[[#This Row],[Demonteerbaarheid]],Tabel26[[#This Row],[Materiaalconditie ]],Tabel26[[#This Row],[Marktpotentie ]])/5,2),0)</f>
        <v>0.4</v>
      </c>
      <c r="J8" s="237" t="str">
        <f t="shared" si="0"/>
        <v>Recycling</v>
      </c>
      <c r="K8" s="237" t="str">
        <f>IF(Tabel26[[#This Row],[Routeadvies]]="Hergebruik","&gt;= 0,8",IF(Tabel26[[#This Row],[Routeadvies]]="Hergebruik &gt; recycling","&gt;= 0,55 en &lt; 0,8",IF(Tabel26[[#This Row],[Routeadvies]]="Recycling","&gt;= 0,3 en &lt; 0,55",IF(Tabel26[[#This Row],[Routeadvies]]="Handmatig beoordelen","&lt; 0,3 of geen score",""))))</f>
        <v>&gt;= 0,3 en &lt; 0,55</v>
      </c>
      <c r="L8" s="236" t="str">
        <f t="shared" si="1"/>
        <v>B-hout</v>
      </c>
      <c r="M8" s="280">
        <f>IFERROR(Tabel26[[#This Row],[BIM-volume m³]]*INDEX(Tabel113[CO2-nieuw (kg)],1)+Tabel26[[#This Row],[BIM-volume m³]]*Tabel26[[#This Row],[Transport Impact]]*IF(Tabel26[[#This Row],[Transportafstand (km)]]="",0,Tabel26[[#This Row],[Transportafstand (km)]]),0)</f>
        <v>47.600000000000009</v>
      </c>
      <c r="N8" s="321">
        <f>IF(Tabel26[[#This Row],[Klasse]]="Totaal",SUM(M9:M17),IFERROR(Tabel26[[#This Row],[BIM-volume m³]]*INDEX(Tabel113[CO2-Hergebruik (kg)],1)+Tabel26[[#This Row],[BIM-volume m³]]*INDEX(Tabel113[Transport-impact ],1)*IF(Tabel26[[#This Row],[Transportafstand (km)]]="",0,Tabel26[[#This Row],[Transportafstand (km)]]),0))</f>
        <v>14.450000000000001</v>
      </c>
      <c r="O8" s="149">
        <f>IFERROR(Tabel26[[#This Row],[BIM-volume m³]]*INDEX(Tabel113[CO2- recycle (kg)],1)+Tabel26[[#This Row],[BIM-volume m³]]*Tabel26[[#This Row],[Transport Impact]]*IF(Tabel26[[#This Row],[Transportafstand (km)]]="",0,Tabel26[[#This Row],[Transportafstand (km)]]),0)</f>
        <v>32.300000000000004</v>
      </c>
      <c r="P8" s="49">
        <f>IF(Q8="hergebruik",M8-N8,IF(Q8="recycling",O8-N8,""))</f>
        <v>33.150000000000006</v>
      </c>
      <c r="Q8" s="239" t="str">
        <f t="shared" si="2"/>
        <v>Hergebruik</v>
      </c>
      <c r="R8" s="236">
        <f>IFERROR(Tabel26[[#This Row],[BIM-volume m³]]*Tabel26[[#This Row],[PRR]],0)</f>
        <v>6.8000000000000005E-2</v>
      </c>
      <c r="S8" s="245">
        <f>IFERROR(VLOOKUP(Tabel26[[#This Row],[Klasse]],Hout!$A$11:$D$14,4,FALSE),0)</f>
        <v>150</v>
      </c>
      <c r="T8" s="314">
        <f t="shared" si="3"/>
        <v>10.200000000000001</v>
      </c>
      <c r="U8" s="237" t="str">
        <f t="shared" si="4"/>
        <v>Nee</v>
      </c>
      <c r="V8" s="237" t="str">
        <f t="shared" si="5"/>
        <v>Ja</v>
      </c>
      <c r="W8" s="237" t="str">
        <f t="shared" si="6"/>
        <v>Ja</v>
      </c>
      <c r="X8" s="283" t="str">
        <f t="shared" si="7"/>
        <v>Interessant</v>
      </c>
      <c r="Y8" s="257"/>
      <c r="Z8" s="311"/>
      <c r="AA8" s="311"/>
      <c r="AB8" s="312"/>
      <c r="AC8" s="311"/>
      <c r="AD8" s="310"/>
      <c r="AE8" s="310"/>
      <c r="AF8" s="309"/>
      <c r="AG8" s="251"/>
      <c r="AH8" s="251"/>
      <c r="AI8" s="251"/>
    </row>
    <row r="9" spans="1:35">
      <c r="A9" s="287" t="s">
        <v>57</v>
      </c>
      <c r="B9" s="235" t="s">
        <v>69</v>
      </c>
      <c r="C9" s="227">
        <f>'Hout-data'!B8</f>
        <v>0</v>
      </c>
      <c r="D9" s="227">
        <v>2</v>
      </c>
      <c r="E9" s="226">
        <v>20</v>
      </c>
      <c r="F9" s="229">
        <v>5</v>
      </c>
      <c r="G9" s="229">
        <v>3</v>
      </c>
      <c r="H9" s="229">
        <v>2</v>
      </c>
      <c r="I9" s="238">
        <f>IFERROR(ROUND(AVERAGE(Tabel26[[#This Row],[Demonteerbaarheid]],Tabel26[[#This Row],[Materiaalconditie ]],Tabel26[[#This Row],[Marktpotentie ]])/5,2),0)</f>
        <v>0.67</v>
      </c>
      <c r="J9" s="237" t="str">
        <f t="shared" si="0"/>
        <v>Hergebruik &gt; recycling</v>
      </c>
      <c r="K9" s="237" t="str">
        <f>IF(Tabel26[[#This Row],[Routeadvies]]="Hergebruik","&gt;= 0,8",IF(Tabel26[[#This Row],[Routeadvies]]="Hergebruik &gt; recycling","&gt;= 0,55 en &lt; 0,8",IF(Tabel26[[#This Row],[Routeadvies]]="Recycling","&gt;= 0,3 en &lt; 0,55",IF(Tabel26[[#This Row],[Routeadvies]]="Handmatig beoordelen","&lt; 0,3 of geen score",""))))</f>
        <v>&gt;= 0,55 en &lt; 0,8</v>
      </c>
      <c r="L9" s="236" t="str">
        <f t="shared" si="1"/>
        <v>B-hout</v>
      </c>
      <c r="M9" s="280">
        <f>IFERROR(Tabel26[[#This Row],[BIM-volume m³]]*INDEX(Tabel113[CO2-nieuw (kg)],1)+Tabel26[[#This Row],[BIM-volume m³]]*Tabel26[[#This Row],[Transport Impact]]*IF(Tabel26[[#This Row],[Transportafstand (km)]]="",0,Tabel26[[#This Row],[Transportafstand (km)]]),0)</f>
        <v>0</v>
      </c>
      <c r="N9" s="281">
        <f>IF(Tabel26[[#This Row],[Klasse]]="Totaal",SUM(M10:M18),IFERROR(Tabel26[[#This Row],[BIM-volume m³]]*INDEX(Tabel113[CO2-Hergebruik (kg)],1)+Tabel26[[#This Row],[BIM-volume m³]]*INDEX(Tabel113[Transport-impact ],1)*IF(Tabel26[[#This Row],[Transportafstand (km)]]="",0,Tabel26[[#This Row],[Transportafstand (km)]]),0))</f>
        <v>0</v>
      </c>
      <c r="O9" s="149">
        <f>IFERROR(Tabel26[[#This Row],[BIM-volume m³]]*INDEX(Tabel113[CO2- recycle (kg)],1)+Tabel26[[#This Row],[BIM-volume m³]]*Tabel26[[#This Row],[Transport Impact]]*IF(Tabel26[[#This Row],[Transportafstand (km)]]="",0,Tabel26[[#This Row],[Transportafstand (km)]]),0)</f>
        <v>0</v>
      </c>
      <c r="P9" s="49" t="str">
        <f>IF(Q9="hergebruik",M9-N9,IF(Q9="recycling",O9-N9,""))</f>
        <v/>
      </c>
      <c r="Q9" s="239" t="str">
        <f t="shared" si="2"/>
        <v>Geen beoordeling</v>
      </c>
      <c r="R9" s="236">
        <f>IFERROR(Tabel26[[#This Row],[BIM-volume m³]]*Tabel26[[#This Row],[PRR]],0)</f>
        <v>0</v>
      </c>
      <c r="S9" s="245">
        <f>IFERROR(VLOOKUP(Tabel26[[#This Row],[Klasse]],Hout!$A$11:$D$14,4,FALSE),0)</f>
        <v>150</v>
      </c>
      <c r="T9" s="314">
        <f t="shared" si="3"/>
        <v>0</v>
      </c>
      <c r="U9" s="237" t="str">
        <f t="shared" si="4"/>
        <v>Nee</v>
      </c>
      <c r="V9" s="237" t="str">
        <f t="shared" si="5"/>
        <v>Ja</v>
      </c>
      <c r="W9" s="237" t="str">
        <f t="shared" si="6"/>
        <v>Nee</v>
      </c>
      <c r="X9" s="283" t="str">
        <f t="shared" si="7"/>
        <v>Eigen beoordeling</v>
      </c>
      <c r="Y9" s="257"/>
      <c r="Z9" s="251"/>
      <c r="AA9" s="251"/>
      <c r="AB9" s="312"/>
      <c r="AC9" s="311"/>
      <c r="AD9" s="310"/>
      <c r="AE9" s="310"/>
      <c r="AF9" s="309"/>
      <c r="AG9" s="251"/>
      <c r="AH9" s="251"/>
      <c r="AI9" s="251"/>
    </row>
    <row r="10" spans="1:35">
      <c r="A10" s="287" t="s">
        <v>57</v>
      </c>
      <c r="B10" s="235" t="s">
        <v>70</v>
      </c>
      <c r="C10" s="227">
        <f>'Hout-data'!B9</f>
        <v>1.18</v>
      </c>
      <c r="D10" s="227">
        <v>2</v>
      </c>
      <c r="E10" s="226">
        <v>20</v>
      </c>
      <c r="F10" s="229">
        <v>1</v>
      </c>
      <c r="G10" s="229">
        <v>3</v>
      </c>
      <c r="H10" s="229">
        <v>2</v>
      </c>
      <c r="I10" s="238">
        <f>IFERROR(ROUND(AVERAGE(Tabel26[[#This Row],[Demonteerbaarheid]],Tabel26[[#This Row],[Materiaalconditie ]],Tabel26[[#This Row],[Marktpotentie ]])/5,2),0)</f>
        <v>0.4</v>
      </c>
      <c r="J10" s="237" t="str">
        <f t="shared" si="0"/>
        <v>Recycling</v>
      </c>
      <c r="K10" s="237" t="str">
        <f>IF(Tabel26[[#This Row],[Routeadvies]]="Hergebruik","&gt;= 0,8",IF(Tabel26[[#This Row],[Routeadvies]]="Hergebruik &gt; recycling","&gt;= 0,55 en &lt; 0,8",IF(Tabel26[[#This Row],[Routeadvies]]="Recycling","&gt;= 0,3 en &lt; 0,55",IF(Tabel26[[#This Row],[Routeadvies]]="Handmatig beoordelen","&lt; 0,3 of geen score",""))))</f>
        <v>&gt;= 0,3 en &lt; 0,55</v>
      </c>
      <c r="L10" s="236" t="str">
        <f t="shared" si="1"/>
        <v>B-hout</v>
      </c>
      <c r="M10" s="280">
        <f>IFERROR(Tabel26[[#This Row],[BIM-volume m³]]*INDEX(Tabel113[CO2-nieuw (kg)],1)+Tabel26[[#This Row],[BIM-volume m³]]*Tabel26[[#This Row],[Transport Impact]]*IF(Tabel26[[#This Row],[Transportafstand (km)]]="",0,Tabel26[[#This Row],[Transportafstand (km)]]),0)</f>
        <v>330.4</v>
      </c>
      <c r="N10" s="281">
        <f>IF(Tabel26[[#This Row],[Klasse]]="Totaal",SUM(M11:M19),IFERROR(Tabel26[[#This Row],[BIM-volume m³]]*INDEX(Tabel113[CO2-Hergebruik (kg)],1)+Tabel26[[#This Row],[BIM-volume m³]]*INDEX(Tabel113[Transport-impact ],1)*IF(Tabel26[[#This Row],[Transportafstand (km)]]="",0,Tabel26[[#This Row],[Transportafstand (km)]]),0))</f>
        <v>100.29999999999998</v>
      </c>
      <c r="O10" s="149">
        <f>IFERROR(Tabel26[[#This Row],[BIM-volume m³]]*INDEX(Tabel113[CO2- recycle (kg)],1)+Tabel26[[#This Row],[BIM-volume m³]]*Tabel26[[#This Row],[Transport Impact]]*IF(Tabel26[[#This Row],[Transportafstand (km)]]="",0,Tabel26[[#This Row],[Transportafstand (km)]]),0)</f>
        <v>224.2</v>
      </c>
      <c r="P10" s="49">
        <f>IF(Q10="hergebruik",M10-N10,IF(Q10="recycling",O10-N10,""))</f>
        <v>230.1</v>
      </c>
      <c r="Q10" s="239" t="str">
        <f t="shared" si="2"/>
        <v>Hergebruik</v>
      </c>
      <c r="R10" s="236">
        <f>IFERROR(Tabel26[[#This Row],[BIM-volume m³]]*Tabel26[[#This Row],[PRR]],0)</f>
        <v>0.47199999999999998</v>
      </c>
      <c r="S10" s="245">
        <f>IFERROR(VLOOKUP(Tabel26[[#This Row],[Klasse]],Hout!$A$11:$D$14,4,FALSE),0)</f>
        <v>150</v>
      </c>
      <c r="T10" s="314">
        <f t="shared" si="3"/>
        <v>70.8</v>
      </c>
      <c r="U10" s="237" t="str">
        <f t="shared" si="4"/>
        <v>Nee</v>
      </c>
      <c r="V10" s="237" t="str">
        <f t="shared" si="5"/>
        <v>Ja</v>
      </c>
      <c r="W10" s="237" t="str">
        <f t="shared" si="6"/>
        <v>Ja</v>
      </c>
      <c r="X10" s="283" t="str">
        <f t="shared" si="7"/>
        <v>Interessant</v>
      </c>
      <c r="Y10" s="257"/>
      <c r="Z10" s="257"/>
      <c r="AA10" s="257"/>
      <c r="AB10" s="312"/>
      <c r="AC10" s="311"/>
      <c r="AD10" s="310"/>
      <c r="AE10" s="310"/>
      <c r="AF10" s="309"/>
      <c r="AG10" s="251"/>
      <c r="AH10" s="251"/>
      <c r="AI10" s="251"/>
    </row>
    <row r="11" spans="1:35">
      <c r="A11" s="287" t="s">
        <v>57</v>
      </c>
      <c r="B11" s="235" t="s">
        <v>71</v>
      </c>
      <c r="C11" s="227">
        <f>'Hout-data'!B10</f>
        <v>0</v>
      </c>
      <c r="D11" s="227">
        <v>2</v>
      </c>
      <c r="E11" s="226">
        <v>20</v>
      </c>
      <c r="F11" s="229">
        <v>5</v>
      </c>
      <c r="G11" s="229">
        <v>2</v>
      </c>
      <c r="H11" s="229">
        <v>1</v>
      </c>
      <c r="I11" s="238">
        <f>IFERROR(ROUND(AVERAGE(Tabel26[[#This Row],[Demonteerbaarheid]],Tabel26[[#This Row],[Materiaalconditie ]],Tabel26[[#This Row],[Marktpotentie ]])/5,2),0)</f>
        <v>0.53</v>
      </c>
      <c r="J11" s="237" t="str">
        <f t="shared" si="0"/>
        <v>Recycling</v>
      </c>
      <c r="K11" s="237" t="str">
        <f>IF(Tabel26[[#This Row],[Routeadvies]]="Hergebruik","&gt;= 0,8",IF(Tabel26[[#This Row],[Routeadvies]]="Hergebruik &gt; recycling","&gt;= 0,55 en &lt; 0,8",IF(Tabel26[[#This Row],[Routeadvies]]="Recycling","&gt;= 0,3 en &lt; 0,55",IF(Tabel26[[#This Row],[Routeadvies]]="Handmatig beoordelen","&lt; 0,3 of geen score",""))))</f>
        <v>&gt;= 0,3 en &lt; 0,55</v>
      </c>
      <c r="L11" s="236" t="str">
        <f t="shared" si="1"/>
        <v>Bijzonder hout</v>
      </c>
      <c r="M11" s="280">
        <f>IFERROR(Tabel26[[#This Row],[BIM-volume m³]]*INDEX(Tabel113[CO2-nieuw (kg)],1)+Tabel26[[#This Row],[BIM-volume m³]]*Tabel26[[#This Row],[Transport Impact]]*IF(Tabel26[[#This Row],[Transportafstand (km)]]="",0,Tabel26[[#This Row],[Transportafstand (km)]]),0)</f>
        <v>0</v>
      </c>
      <c r="N11" s="281">
        <f>IF(Tabel26[[#This Row],[Klasse]]="Totaal",SUM(M12:M20),IFERROR(Tabel26[[#This Row],[BIM-volume m³]]*INDEX(Tabel113[CO2-Hergebruik (kg)],1)+Tabel26[[#This Row],[BIM-volume m³]]*INDEX(Tabel113[Transport-impact ],1)*IF(Tabel26[[#This Row],[Transportafstand (km)]]="",0,Tabel26[[#This Row],[Transportafstand (km)]]),0))</f>
        <v>0</v>
      </c>
      <c r="O11" s="149">
        <f>IFERROR(Tabel26[[#This Row],[BIM-volume m³]]*INDEX(Tabel113[CO2- recycle (kg)],1)+Tabel26[[#This Row],[BIM-volume m³]]*Tabel26[[#This Row],[Transport Impact]]*IF(Tabel26[[#This Row],[Transportafstand (km)]]="",0,Tabel26[[#This Row],[Transportafstand (km)]]),0)</f>
        <v>0</v>
      </c>
      <c r="P11" s="49" t="str">
        <f>IF(Q11="hergebruik",M11-N11,IF(Q11="recycling",O11-N11,""))</f>
        <v/>
      </c>
      <c r="Q11" s="239" t="str">
        <f t="shared" si="2"/>
        <v>Geen beoordeling</v>
      </c>
      <c r="R11" s="236">
        <f>IFERROR(Tabel26[[#This Row],[BIM-volume m³]]*Tabel26[[#This Row],[PRR]],0)</f>
        <v>0</v>
      </c>
      <c r="S11" s="245">
        <f>IFERROR(VLOOKUP(Tabel26[[#This Row],[Klasse]],Hout!$A$11:$D$14,4,FALSE),0)</f>
        <v>900</v>
      </c>
      <c r="T11" s="314">
        <f t="shared" si="3"/>
        <v>0</v>
      </c>
      <c r="U11" s="237" t="str">
        <f t="shared" si="4"/>
        <v>Nee</v>
      </c>
      <c r="V11" s="237" t="str">
        <f t="shared" si="5"/>
        <v>Ja</v>
      </c>
      <c r="W11" s="237" t="str">
        <f t="shared" si="6"/>
        <v>Nee</v>
      </c>
      <c r="X11" s="283" t="str">
        <f t="shared" si="7"/>
        <v>Eigen beoordeling</v>
      </c>
      <c r="Y11" s="257"/>
      <c r="Z11" s="251"/>
      <c r="AA11" s="251"/>
      <c r="AB11" s="257"/>
      <c r="AC11" s="258"/>
      <c r="AD11" s="259"/>
      <c r="AE11" s="259"/>
      <c r="AF11" s="260"/>
      <c r="AG11" s="251"/>
      <c r="AH11" s="251"/>
      <c r="AI11" s="251"/>
    </row>
    <row r="12" spans="1:35">
      <c r="A12" s="289" t="s">
        <v>57</v>
      </c>
      <c r="B12" s="290" t="s">
        <v>72</v>
      </c>
      <c r="C12" s="227">
        <f>'Hout-data'!B11</f>
        <v>0</v>
      </c>
      <c r="D12" s="230">
        <v>2</v>
      </c>
      <c r="E12" s="226">
        <v>20</v>
      </c>
      <c r="F12" s="231">
        <v>5</v>
      </c>
      <c r="G12" s="231">
        <v>4</v>
      </c>
      <c r="H12" s="231">
        <v>5</v>
      </c>
      <c r="I12" s="238">
        <f>IFERROR(ROUND(AVERAGE(F12,G12,H12)/5,2),0)</f>
        <v>0.93</v>
      </c>
      <c r="J12" s="237" t="str">
        <f t="shared" si="0"/>
        <v>Hergebruik</v>
      </c>
      <c r="K12" s="237" t="str">
        <f>IF(Tabel26[[#This Row],[Routeadvies]]="Hergebruik","&gt;= 0,8",IF(Tabel26[[#This Row],[Routeadvies]]="Hergebruik &gt; recycling","&gt;= 0,55 en &lt; 0,8",IF(Tabel26[[#This Row],[Routeadvies]]="Recycling","&gt;= 0,3 en &lt; 0,55",IF(Tabel26[[#This Row],[Routeadvies]]="Handmatig beoordelen","&lt; 0,3 of geen score",""))))</f>
        <v>&gt;= 0,8</v>
      </c>
      <c r="L12" s="284" t="str">
        <f t="shared" si="1"/>
        <v>Bijzonder hout</v>
      </c>
      <c r="M12" s="280">
        <f>IFERROR(Tabel26[[#This Row],[BIM-volume m³]]*INDEX(Tabel113[CO2-nieuw (kg)],1)+Tabel26[[#This Row],[BIM-volume m³]]*Tabel26[[#This Row],[Transport Impact]]*IF(Tabel26[[#This Row],[Transportafstand (km)]]="",0,Tabel26[[#This Row],[Transportafstand (km)]]),0)</f>
        <v>0</v>
      </c>
      <c r="N12" s="281"/>
      <c r="O12" s="149">
        <f>IFERROR(Tabel26[[#This Row],[BIM-volume m³]]*INDEX(Tabel113[CO2- recycle (kg)],1)+Tabel26[[#This Row],[BIM-volume m³]]*Tabel26[[#This Row],[Transport Impact]]*IF(Tabel26[[#This Row],[Transportafstand (km)]]="",0,Tabel26[[#This Row],[Transportafstand (km)]]),0)</f>
        <v>0</v>
      </c>
      <c r="P12" s="240">
        <f t="shared" ref="P12" si="8">IF($B19="Totaal",SUM($O$4:$O$12),IFERROR(MAX(0,$M12-MIN($N12,$O12)),0))</f>
        <v>0</v>
      </c>
      <c r="Q12" s="285" t="str">
        <f t="shared" si="2"/>
        <v>Geen beoordeling</v>
      </c>
      <c r="R12" s="284">
        <f>IFERROR(Tabel26[[#This Row],[BIM-volume m³]]*Tabel26[[#This Row],[PRR]],0)</f>
        <v>0</v>
      </c>
      <c r="S12" s="286">
        <f>IFERROR(VLOOKUP(Tabel26[[#This Row],[Klasse]],Hout!$A$11:$D$14,4,FALSE),0)</f>
        <v>900</v>
      </c>
      <c r="T12" s="315">
        <f t="shared" si="3"/>
        <v>0</v>
      </c>
      <c r="U12" s="237" t="str">
        <f t="shared" si="4"/>
        <v>Ja</v>
      </c>
      <c r="V12" s="237" t="str">
        <f t="shared" si="5"/>
        <v>Nee</v>
      </c>
      <c r="W12" s="237" t="str">
        <f t="shared" si="6"/>
        <v>Nee</v>
      </c>
      <c r="X12" s="234" t="str">
        <f t="shared" si="7"/>
        <v>Eigen beoordeling</v>
      </c>
      <c r="Y12" s="251"/>
      <c r="Z12" s="251"/>
      <c r="AA12" s="257"/>
      <c r="AB12" s="251"/>
      <c r="AC12" s="251"/>
      <c r="AD12" s="251"/>
      <c r="AE12" s="251"/>
      <c r="AF12" s="251"/>
      <c r="AG12" s="251"/>
      <c r="AH12" s="251"/>
    </row>
    <row r="13" spans="1:35">
      <c r="A13" s="251"/>
      <c r="B13" s="251"/>
      <c r="C13" s="251"/>
      <c r="D13" s="251"/>
      <c r="E13" s="251"/>
      <c r="F13" s="251"/>
      <c r="G13" s="251"/>
      <c r="H13" s="251"/>
      <c r="I13" s="251"/>
      <c r="J13" s="251"/>
      <c r="K13" s="251"/>
      <c r="L13" s="264"/>
      <c r="M13" s="251"/>
      <c r="N13" s="251"/>
      <c r="O13" s="251"/>
      <c r="P13" s="261"/>
      <c r="Q13" s="251"/>
      <c r="R13" s="251"/>
      <c r="S13" s="251"/>
      <c r="T13" s="251"/>
      <c r="U13" s="251"/>
      <c r="V13" s="251"/>
      <c r="W13" s="251"/>
      <c r="X13" s="251"/>
      <c r="Y13" s="251"/>
      <c r="Z13" s="251"/>
      <c r="AA13" s="251"/>
      <c r="AB13" s="251"/>
      <c r="AC13" s="251"/>
      <c r="AD13" s="251"/>
      <c r="AE13" s="251"/>
      <c r="AF13" s="251"/>
      <c r="AG13" s="251"/>
      <c r="AH13" s="251"/>
      <c r="AI13" s="251"/>
    </row>
    <row r="14" spans="1:35" ht="43.2">
      <c r="A14" s="253" t="s">
        <v>39</v>
      </c>
      <c r="B14" s="254" t="s">
        <v>430</v>
      </c>
      <c r="C14" s="254" t="s">
        <v>40</v>
      </c>
      <c r="D14" s="316" t="s">
        <v>41</v>
      </c>
      <c r="E14" s="316" t="s">
        <v>42</v>
      </c>
      <c r="F14" s="317" t="s">
        <v>43</v>
      </c>
      <c r="G14" s="317" t="s">
        <v>44</v>
      </c>
      <c r="H14" s="317" t="s">
        <v>45</v>
      </c>
      <c r="I14" s="254" t="s">
        <v>46</v>
      </c>
      <c r="J14" s="254" t="s">
        <v>30</v>
      </c>
      <c r="K14" s="254" t="s">
        <v>366</v>
      </c>
      <c r="L14" s="254" t="s">
        <v>47</v>
      </c>
      <c r="M14" s="255" t="s">
        <v>428</v>
      </c>
      <c r="N14" s="254" t="s">
        <v>432</v>
      </c>
      <c r="O14" s="254" t="s">
        <v>433</v>
      </c>
      <c r="P14" s="254" t="s">
        <v>65</v>
      </c>
      <c r="Q14" s="254" t="s">
        <v>52</v>
      </c>
      <c r="R14" s="254" t="s">
        <v>62</v>
      </c>
      <c r="S14" s="254" t="s">
        <v>54</v>
      </c>
      <c r="T14" s="254" t="s">
        <v>55</v>
      </c>
      <c r="U14" s="318" t="s">
        <v>19</v>
      </c>
      <c r="V14" s="318" t="s">
        <v>429</v>
      </c>
      <c r="W14" s="318" t="s">
        <v>56</v>
      </c>
      <c r="X14" s="319" t="s">
        <v>23</v>
      </c>
      <c r="Y14" s="251"/>
      <c r="Z14" s="251"/>
      <c r="AA14" s="251"/>
      <c r="AB14" s="251"/>
      <c r="AC14" s="251"/>
      <c r="AD14" s="251"/>
      <c r="AE14" s="251"/>
      <c r="AF14" s="251"/>
      <c r="AG14" s="251"/>
      <c r="AH14" s="251"/>
      <c r="AI14" s="251"/>
    </row>
    <row r="15" spans="1:35">
      <c r="A15" s="287" t="s">
        <v>73</v>
      </c>
      <c r="B15" s="288" t="s">
        <v>58</v>
      </c>
      <c r="C15" s="225">
        <f>'Staal-data'!B2</f>
        <v>0</v>
      </c>
      <c r="D15" s="225">
        <v>4</v>
      </c>
      <c r="E15" s="226" t="str">
        <f>""</f>
        <v/>
      </c>
      <c r="F15" s="226">
        <f>AVERAGE(F16:F24)</f>
        <v>3.2222222222222223</v>
      </c>
      <c r="G15" s="226">
        <f t="shared" ref="G15:H15" si="9">AVERAGE(G16:G24)</f>
        <v>2.8888888888888888</v>
      </c>
      <c r="H15" s="226">
        <f t="shared" si="9"/>
        <v>3.4444444444444446</v>
      </c>
      <c r="I15" s="238">
        <f>IFERROR(ROUND(AVERAGE(Tabel2640[[#This Row],[Demonteerbaarheid]],Tabel2640[[#This Row],[Materiaalconditie ]],Tabel2640[[#This Row],[Marktpotentie ]])/5,2),0)</f>
        <v>0.64</v>
      </c>
      <c r="J15" s="237" t="str">
        <f>IF(Tabel2640[[#This Row],[PRR]]="","Handmatig beoordelen",IF(Tabel2640[[#This Row],[PRR]]&gt;=0.75,"Hergebruik",IF(Tabel2640[[#This Row],[PRR]]&gt;=0.4,"Hergebruik &gt; recycling",IF(Tabel2640[[#This Row],[PRR]]&gt;=0.15,"Recycling","Handmatig beoordelen"))))</f>
        <v>Hergebruik &gt; recycling</v>
      </c>
      <c r="K15" s="237" t="str">
        <f>IF(Tabel2640[[#This Row],[Routeadvies]]="Hergebruik","&gt;= 0,75",IF(Tabel2640[[#This Row],[Routeadvies]]="Hergebruik &gt; recycling","&gt;= 0,4 en &lt; 0,75",IF(Tabel2640[[#This Row],[Routeadvies]]="Recycling","&gt;= 0,15 en &lt; 0,4",IF(Tabel2640[[#This Row],[Routeadvies]]="Handmatig beoordelen","&lt; 0,15 of geen score",""))))</f>
        <v>&gt;= 0,4 en &lt; 0,75</v>
      </c>
      <c r="L15" s="237" t="str">
        <f t="shared" ref="L15:L24" si="10">IF($B15="Totaal","Totaal",IF(OR($B15="deuren",$B15="Balken",$B15="Liggers",$B15="Buisstaalconstructies",$B15="Kozijnen",$B15="Trappen",$B15="Hekwerken",$B15="Leuningen",$B15="ramen"),"Bijzonder staal",IF($G15="","Handmatig beoordelen",IF($G15&gt;=4,"A-staal",IF($G15&gt;=2,"B-staal",IF($G15&gt;0,"C-staal","Handmatig beoordelen"))))))</f>
        <v>Totaal</v>
      </c>
      <c r="M15" s="297">
        <f>IFERROR(Tabel2640[[#This Row],[BIM-volume m³]]*INDEX(Tabel17[CO2-nieuw (kg)],1)+Tabel2640[[#This Row],[BIM-volume m³]]*Tabel2640[[#This Row],[Transport Impact]]*IF(Tabel2640[[#This Row],[Transportafstand (km)]]="",0,Tabel2640[[#This Row],[Transportafstand (km)]]),0)</f>
        <v>0</v>
      </c>
      <c r="N15" s="240">
        <f t="shared" ref="N15" si="11">SUM(N16:N24)</f>
        <v>0</v>
      </c>
      <c r="O15" s="66">
        <f>SUM(O16:O24)</f>
        <v>0</v>
      </c>
      <c r="P15" s="240">
        <f>IF($B10="Totaal",SUM($P$16:$P$24),IFERROR(MAX(0,$M14-MIN($N15,$O15)),0))</f>
        <v>0</v>
      </c>
      <c r="Q15" s="239" t="str">
        <f t="shared" ref="Q15:Q24" si="12">IF(OR($M14="",$M14=0),"Geen beoordeling",IF(AND($N15=0,$O15=0),"Geen beoordeling",IF($N15&lt;$O15,"Hergebruik",IF($O15&lt;$N15,"Recycling","Hergebruik en recycling gelijk"))))</f>
        <v>Geen beoordeling</v>
      </c>
      <c r="R15" s="236">
        <f>IFERROR(Tabel2640[[#This Row],[BIM-volume m³]]*Tabel2640[[#This Row],[PRR]],0)</f>
        <v>0</v>
      </c>
      <c r="S15" s="224">
        <f>IFERROR(VLOOKUP(Tabel2640[[#This Row],[Klasse]],Staal!$A$10:$D$13,4,FALSE),0)</f>
        <v>0</v>
      </c>
      <c r="T15" s="246">
        <f>Tabel2640[[#This Row],[Praktisch terugwinbaar volume m³]]*Tabel2640[[#This Row],[Verkoopprijs per m³]]</f>
        <v>0</v>
      </c>
      <c r="U15" s="282" t="str">
        <f t="shared" ref="U15:U24" si="13">IF(OR($L15="Handmatig beoordelen",$L15="",$L15="Totaal",$I15=""),"Handmatig",IF($I15&gt;=70%,"Ja","Nee"))</f>
        <v>Handmatig</v>
      </c>
      <c r="V15" s="237" t="str">
        <f t="shared" ref="V15:V24" si="14">IF(OR($L15="Handmatig beoordelen",$L15="",$L15="Totaal",$Q15=""),"Handmatig",IF(OR($Q15="Hergebruik",$Q15="Recycling",$Q15="Hergebruik en recycling",$Q15="Hergebruik en recycling gelijk"),"Ja","Nee"))</f>
        <v>Handmatig</v>
      </c>
      <c r="W15" s="237" t="str">
        <f t="shared" ref="W15:W24" si="15">IF(OR($L15="Handmatig beoordelen",$L15="",$L15="Totaal"),"Handmatig",IF($T15&gt;0,"Ja","Nee"))</f>
        <v>Handmatig</v>
      </c>
      <c r="X15" s="283" t="str">
        <f t="shared" ref="X15:X24" si="16">IF(OR($U15="Handmatig",$V15="Handmatig",$W15="Handmatig"),"Handmatig beoordelen",IF(COUNTIF($U15:$W15,"Ja")&gt;=2,"Interessant",IF(COUNTIF($U15:$W15,"Ja")=1,"Eigen beoordeling","Niet interessant")))</f>
        <v>Handmatig beoordelen</v>
      </c>
      <c r="Y15" s="251"/>
      <c r="Z15" s="251"/>
      <c r="AA15" s="251"/>
      <c r="AB15" s="251"/>
      <c r="AC15" s="251"/>
      <c r="AD15" s="251"/>
      <c r="AE15" s="251"/>
      <c r="AF15" s="251"/>
      <c r="AG15" s="251"/>
      <c r="AH15" s="251"/>
      <c r="AI15" s="251"/>
    </row>
    <row r="16" spans="1:35">
      <c r="A16" s="287" t="s">
        <v>73</v>
      </c>
      <c r="B16" s="235" t="s">
        <v>60</v>
      </c>
      <c r="C16" s="225">
        <f>'Staal-data'!B3</f>
        <v>0</v>
      </c>
      <c r="D16" s="227">
        <v>4</v>
      </c>
      <c r="E16" s="226">
        <v>20</v>
      </c>
      <c r="F16" s="233">
        <v>1</v>
      </c>
      <c r="G16" s="228">
        <v>3</v>
      </c>
      <c r="H16" s="228">
        <v>4</v>
      </c>
      <c r="I16" s="238">
        <f>IFERROR(ROUND(AVERAGE(Tabel2640[[#This Row],[Demonteerbaarheid]],Tabel2640[[#This Row],[Materiaalconditie ]],Tabel2640[[#This Row],[Marktpotentie ]])/5,2),0)</f>
        <v>0.53</v>
      </c>
      <c r="J16" s="237" t="str">
        <f>IF(Tabel2640[[#This Row],[PRR]]="","Handmatig beoordelen",IF(Tabel2640[[#This Row],[PRR]]&gt;=0.75,"Hergebruik",IF(Tabel2640[[#This Row],[PRR]]&gt;=0.4,"Hergebruik &gt; recycling",IF(Tabel2640[[#This Row],[PRR]]&gt;=0.15,"Recycling","Handmatig beoordelen"))))</f>
        <v>Hergebruik &gt; recycling</v>
      </c>
      <c r="K16" s="237" t="str">
        <f>IF(Tabel2640[[#This Row],[Routeadvies]]="Hergebruik","&gt;= 0,75",IF(Tabel2640[[#This Row],[Routeadvies]]="Hergebruik &gt; recycling","&gt;= 0,4 en &lt; 0,75",IF(Tabel2640[[#This Row],[Routeadvies]]="Recycling","&gt;= 0,15 en &lt; 0,4",IF(Tabel2640[[#This Row],[Routeadvies]]="Handmatig beoordelen","&lt; 0,15 of geen score",""))))</f>
        <v>&gt;= 0,4 en &lt; 0,75</v>
      </c>
      <c r="L16" s="237" t="str">
        <f t="shared" si="10"/>
        <v>B-staal</v>
      </c>
      <c r="M16" s="240">
        <f>IFERROR(Tabel2640[[#This Row],[BIM-volume m³]]*INDEX(Tabel17[CO2-nieuw (kg)],1)+Tabel2640[[#This Row],[BIM-volume m³]]*Tabel2640[[#This Row],[Transport Impact]]*IF(Tabel2640[[#This Row],[Transportafstand (km)]]="",0,Tabel2640[[#This Row],[Transportafstand (km)]]),0)</f>
        <v>0</v>
      </c>
      <c r="N16" s="237">
        <f>IFERROR(Tabel2640[[#This Row],[BIM-volume m³]]*INDEX(Tabel17[CO2-Hergebruik (kg)],1)+Tabel2640[[#This Row],[BIM-volume m³]]*Tabel2640[[#This Row],[Transportafstand (km)]]*Tabel2640[[#This Row],[Transport Impact]],0)</f>
        <v>0</v>
      </c>
      <c r="O16" s="237">
        <f>IFERROR(Tabel2640[[#This Row],[BIM-volume m³]]*Staal!$O$3+Tabel2640[[#This Row],[BIM-volume m³]]*Tabel2640[[#This Row],[Transport Impact]]*IF(Tabel2640[[#This Row],[Transportafstand (km)]]="",0,Tabel2640[[#This Row],[Transportafstand (km)]]),0)</f>
        <v>0</v>
      </c>
      <c r="P16" s="240">
        <f>IFERROR(MAX(0,Tabel2640[[#This Row],[Tot. nieuw CO2 (kg)]]-MIN(IF(Tabel2640[[#This Row],[Tot. hergebruik CO2 (kg)]]=0,999999,Tabel2640[[#This Row],[Tot. hergebruik CO2 (kg)]]),IF(Tabel2640[[#This Row],[Tot. recycling Co2 (kg)]]=0,999999,Tabel2640[[#This Row],[Tot. recycling Co2 (kg)]]))),0)</f>
        <v>0</v>
      </c>
      <c r="Q16" s="241" t="str">
        <f t="shared" si="12"/>
        <v>Geen beoordeling</v>
      </c>
      <c r="R16" s="236">
        <f>IFERROR(Tabel2640[[#This Row],[BIM-volume m³]]*Tabel2640[[#This Row],[PRR]],0)</f>
        <v>0</v>
      </c>
      <c r="S16" s="232">
        <f>IFERROR(VLOOKUP(Tabel2640[[#This Row],[Klasse]],Staal!$A$10:$D$13,4,FALSE),0)</f>
        <v>150</v>
      </c>
      <c r="T16" s="246">
        <f>Tabel2640[[#This Row],[Praktisch terugwinbaar volume m³]]*Tabel2640[[#This Row],[Verkoopprijs per m³]]</f>
        <v>0</v>
      </c>
      <c r="U16" s="237" t="str">
        <f t="shared" si="13"/>
        <v>Nee</v>
      </c>
      <c r="V16" s="237" t="str">
        <f t="shared" si="14"/>
        <v>Nee</v>
      </c>
      <c r="W16" s="237" t="str">
        <f t="shared" si="15"/>
        <v>Nee</v>
      </c>
      <c r="X16" s="283" t="str">
        <f t="shared" si="16"/>
        <v>Niet interessant</v>
      </c>
      <c r="Y16" s="251"/>
      <c r="Z16" s="251"/>
      <c r="AA16" s="251"/>
      <c r="AB16" s="251"/>
      <c r="AC16" s="251"/>
      <c r="AD16" s="251"/>
      <c r="AE16" s="251"/>
      <c r="AF16" s="251"/>
      <c r="AG16" s="251"/>
      <c r="AH16" s="251"/>
      <c r="AI16" s="251"/>
    </row>
    <row r="17" spans="1:38">
      <c r="A17" s="287" t="s">
        <v>73</v>
      </c>
      <c r="B17" s="235" t="s">
        <v>61</v>
      </c>
      <c r="C17" s="225">
        <f>'Staal-data'!B4</f>
        <v>0</v>
      </c>
      <c r="D17" s="227">
        <v>4</v>
      </c>
      <c r="E17" s="226">
        <v>20</v>
      </c>
      <c r="F17" s="229">
        <v>1</v>
      </c>
      <c r="G17" s="229">
        <v>3</v>
      </c>
      <c r="H17" s="229">
        <v>3</v>
      </c>
      <c r="I17" s="238">
        <f>IFERROR(ROUND(AVERAGE(Tabel2640[[#This Row],[Demonteerbaarheid]],Tabel2640[[#This Row],[Materiaalconditie ]],Tabel2640[[#This Row],[Marktpotentie ]])/5,2),0)</f>
        <v>0.47</v>
      </c>
      <c r="J17" s="237" t="str">
        <f>IF(Tabel2640[[#This Row],[PRR]]="","Handmatig beoordelen",IF(Tabel2640[[#This Row],[PRR]]&gt;=0.75,"Hergebruik",IF(Tabel2640[[#This Row],[PRR]]&gt;=0.4,"Hergebruik &gt; recycling",IF(Tabel2640[[#This Row],[PRR]]&gt;=0.15,"Recycling","Handmatig beoordelen"))))</f>
        <v>Hergebruik &gt; recycling</v>
      </c>
      <c r="K17" s="237" t="str">
        <f>IF(Tabel2640[[#This Row],[Routeadvies]]="Hergebruik","&gt;= 0,75",IF(Tabel2640[[#This Row],[Routeadvies]]="Hergebruik &gt; recycling","&gt;= 0,4 en &lt; 0,75",IF(Tabel2640[[#This Row],[Routeadvies]]="Recycling","&gt;= 0,15 en &lt; 0,4",IF(Tabel2640[[#This Row],[Routeadvies]]="Handmatig beoordelen","&lt; 0,15 of geen score",""))))</f>
        <v>&gt;= 0,4 en &lt; 0,75</v>
      </c>
      <c r="L17" s="237" t="str">
        <f t="shared" si="10"/>
        <v>B-staal</v>
      </c>
      <c r="M17" s="240">
        <f>IFERROR(Tabel2640[[#This Row],[BIM-volume m³]]*INDEX(Tabel17[CO2-nieuw (kg)],1)+Tabel2640[[#This Row],[BIM-volume m³]]*Tabel2640[[#This Row],[Transport Impact]]*IF(Tabel2640[[#This Row],[Transportafstand (km)]]="",0,Tabel2640[[#This Row],[Transportafstand (km)]]),0)</f>
        <v>0</v>
      </c>
      <c r="N17" s="237">
        <f>IFERROR(Tabel2640[[#This Row],[BIM-volume m³]]*INDEX(Tabel17[CO2-Hergebruik (kg)],1)+Tabel2640[[#This Row],[BIM-volume m³]]*Tabel2640[[#This Row],[Transportafstand (km)]]*Tabel2640[[#This Row],[Transport Impact]],0)</f>
        <v>0</v>
      </c>
      <c r="O17" s="237">
        <f>IFERROR(Tabel2640[[#This Row],[BIM-volume m³]]*Staal!$O$3+Tabel2640[[#This Row],[BIM-volume m³]]*Tabel2640[[#This Row],[Transport Impact]]*IF(Tabel2640[[#This Row],[Transportafstand (km)]]="",0,Tabel2640[[#This Row],[Transportafstand (km)]]),0)</f>
        <v>0</v>
      </c>
      <c r="P17" s="240">
        <f>IFERROR(MAX(0,Tabel2640[[#This Row],[Tot. nieuw CO2 (kg)]]-MIN(IF(Tabel2640[[#This Row],[Tot. hergebruik CO2 (kg)]]=0,999999,Tabel2640[[#This Row],[Tot. hergebruik CO2 (kg)]]),IF(Tabel2640[[#This Row],[Tot. recycling Co2 (kg)]]=0,999999,Tabel2640[[#This Row],[Tot. recycling Co2 (kg)]]))),0)</f>
        <v>0</v>
      </c>
      <c r="Q17" s="241" t="str">
        <f t="shared" si="12"/>
        <v>Geen beoordeling</v>
      </c>
      <c r="R17" s="236">
        <f>IFERROR(Tabel2640[[#This Row],[BIM-volume m³]]*Tabel2640[[#This Row],[PRR]],0)</f>
        <v>0</v>
      </c>
      <c r="S17" s="232">
        <f>IFERROR(VLOOKUP(Tabel2640[[#This Row],[Klasse]],Staal!$A$10:$D$13,4,FALSE),0)</f>
        <v>150</v>
      </c>
      <c r="T17" s="246">
        <f>Tabel2640[[#This Row],[Praktisch terugwinbaar volume m³]]*Tabel2640[[#This Row],[Verkoopprijs per m³]]</f>
        <v>0</v>
      </c>
      <c r="U17" s="237" t="str">
        <f t="shared" si="13"/>
        <v>Nee</v>
      </c>
      <c r="V17" s="237" t="str">
        <f t="shared" si="14"/>
        <v>Nee</v>
      </c>
      <c r="W17" s="237" t="str">
        <f t="shared" si="15"/>
        <v>Nee</v>
      </c>
      <c r="X17" s="283" t="str">
        <f t="shared" si="16"/>
        <v>Niet interessant</v>
      </c>
      <c r="Y17" s="251">
        <v>530</v>
      </c>
      <c r="Z17" s="251"/>
      <c r="AA17" s="251"/>
      <c r="AB17" s="251"/>
      <c r="AC17" s="251"/>
      <c r="AD17" s="251"/>
      <c r="AE17" s="251"/>
      <c r="AF17" s="251"/>
      <c r="AG17" s="251"/>
      <c r="AH17" s="251"/>
      <c r="AI17" s="251"/>
    </row>
    <row r="18" spans="1:38">
      <c r="A18" s="287" t="s">
        <v>73</v>
      </c>
      <c r="B18" s="235" t="s">
        <v>64</v>
      </c>
      <c r="C18" s="225">
        <f>'Staal-data'!B5</f>
        <v>0</v>
      </c>
      <c r="D18" s="227">
        <v>4</v>
      </c>
      <c r="E18" s="226">
        <v>20</v>
      </c>
      <c r="F18" s="229">
        <v>5</v>
      </c>
      <c r="G18" s="229">
        <v>4</v>
      </c>
      <c r="H18" s="229">
        <v>3</v>
      </c>
      <c r="I18" s="238">
        <f>IFERROR(ROUND(AVERAGE(Tabel2640[[#This Row],[Demonteerbaarheid]],Tabel2640[[#This Row],[Materiaalconditie ]],Tabel2640[[#This Row],[Marktpotentie ]])/5,2),0)</f>
        <v>0.8</v>
      </c>
      <c r="J18" s="237" t="str">
        <f>IF(Tabel2640[[#This Row],[PRR]]="","Handmatig beoordelen",IF(Tabel2640[[#This Row],[PRR]]&gt;=0.75,"Hergebruik",IF(Tabel2640[[#This Row],[PRR]]&gt;=0.4,"Hergebruik &gt; recycling",IF(Tabel2640[[#This Row],[PRR]]&gt;=0.15,"Recycling","Handmatig beoordelen"))))</f>
        <v>Hergebruik</v>
      </c>
      <c r="K18" s="237" t="str">
        <f>IF(Tabel2640[[#This Row],[Routeadvies]]="Hergebruik","&gt;= 0,75",IF(Tabel2640[[#This Row],[Routeadvies]]="Hergebruik &gt; recycling","&gt;= 0,4 en &lt; 0,75",IF(Tabel2640[[#This Row],[Routeadvies]]="Recycling","&gt;= 0,15 en &lt; 0,4",IF(Tabel2640[[#This Row],[Routeadvies]]="Handmatig beoordelen","&lt; 0,15 of geen score",""))))</f>
        <v>&gt;= 0,75</v>
      </c>
      <c r="L18" s="237" t="str">
        <f t="shared" si="10"/>
        <v>A-staal</v>
      </c>
      <c r="M18" s="240">
        <f>IFERROR(Tabel2640[[#This Row],[BIM-volume m³]]*INDEX(Tabel17[CO2-nieuw (kg)],1)+Tabel2640[[#This Row],[BIM-volume m³]]*Tabel2640[[#This Row],[Transport Impact]]*IF(Tabel2640[[#This Row],[Transportafstand (km)]]="",0,Tabel2640[[#This Row],[Transportafstand (km)]]),0)</f>
        <v>0</v>
      </c>
      <c r="N18" s="237">
        <f>IFERROR(Tabel2640[[#This Row],[BIM-volume m³]]*INDEX(Tabel17[CO2-Hergebruik (kg)],1)+Tabel2640[[#This Row],[BIM-volume m³]]*Tabel2640[[#This Row],[Transportafstand (km)]]*Tabel2640[[#This Row],[Transport Impact]],0)</f>
        <v>0</v>
      </c>
      <c r="O18" s="237">
        <f>IFERROR(Tabel2640[[#This Row],[BIM-volume m³]]*Staal!$O$3+Tabel2640[[#This Row],[BIM-volume m³]]*Tabel2640[[#This Row],[Transport Impact]]*IF(Tabel2640[[#This Row],[Transportafstand (km)]]="",0,Tabel2640[[#This Row],[Transportafstand (km)]]),0)</f>
        <v>0</v>
      </c>
      <c r="P18" s="240">
        <f>IFERROR(MAX(0,Tabel2640[[#This Row],[Tot. nieuw CO2 (kg)]]-MIN(IF(Tabel2640[[#This Row],[Tot. hergebruik CO2 (kg)]]=0,999999,Tabel2640[[#This Row],[Tot. hergebruik CO2 (kg)]]),IF(Tabel2640[[#This Row],[Tot. recycling Co2 (kg)]]=0,999999,Tabel2640[[#This Row],[Tot. recycling Co2 (kg)]]))),0)</f>
        <v>0</v>
      </c>
      <c r="Q18" s="241" t="str">
        <f t="shared" si="12"/>
        <v>Geen beoordeling</v>
      </c>
      <c r="R18" s="236">
        <f>IFERROR(Tabel2640[[#This Row],[BIM-volume m³]]*Tabel2640[[#This Row],[PRR]],0)</f>
        <v>0</v>
      </c>
      <c r="S18" s="232">
        <f>IFERROR(VLOOKUP(Tabel2640[[#This Row],[Klasse]],Staal!$A$10:$D$13,4,FALSE),0)</f>
        <v>255</v>
      </c>
      <c r="T18" s="246">
        <f>Tabel2640[[#This Row],[Praktisch terugwinbaar volume m³]]*Tabel2640[[#This Row],[Verkoopprijs per m³]]</f>
        <v>0</v>
      </c>
      <c r="U18" s="237" t="str">
        <f t="shared" si="13"/>
        <v>Ja</v>
      </c>
      <c r="V18" s="237" t="str">
        <f t="shared" si="14"/>
        <v>Nee</v>
      </c>
      <c r="W18" s="237" t="str">
        <f t="shared" si="15"/>
        <v>Nee</v>
      </c>
      <c r="X18" s="283" t="str">
        <f t="shared" si="16"/>
        <v>Eigen beoordeling</v>
      </c>
      <c r="Y18" s="251"/>
      <c r="Z18" s="251"/>
      <c r="AA18" s="251"/>
      <c r="AB18" s="251"/>
      <c r="AC18" s="251"/>
      <c r="AD18" s="251"/>
      <c r="AE18" s="251"/>
      <c r="AF18" s="251"/>
      <c r="AG18" s="251"/>
      <c r="AH18" s="251"/>
      <c r="AI18" s="251"/>
    </row>
    <row r="19" spans="1:38">
      <c r="A19" s="287" t="s">
        <v>73</v>
      </c>
      <c r="B19" s="235" t="s">
        <v>67</v>
      </c>
      <c r="C19" s="225">
        <f>'Staal-data'!B6</f>
        <v>0</v>
      </c>
      <c r="D19" s="227">
        <v>4</v>
      </c>
      <c r="E19" s="226">
        <v>20</v>
      </c>
      <c r="F19" s="229">
        <v>5</v>
      </c>
      <c r="G19" s="229">
        <v>3</v>
      </c>
      <c r="H19" s="229">
        <v>5</v>
      </c>
      <c r="I19" s="238">
        <f>IFERROR(ROUND(AVERAGE(Tabel2640[[#This Row],[Demonteerbaarheid]],Tabel2640[[#This Row],[Materiaalconditie ]],Tabel2640[[#This Row],[Marktpotentie ]])/5,2),0)</f>
        <v>0.87</v>
      </c>
      <c r="J19" s="237" t="str">
        <f>IF(Tabel2640[[#This Row],[PRR]]="","Handmatig beoordelen",IF(Tabel2640[[#This Row],[PRR]]&gt;=0.75,"Hergebruik",IF(Tabel2640[[#This Row],[PRR]]&gt;=0.4,"Hergebruik &gt; recycling",IF(Tabel2640[[#This Row],[PRR]]&gt;=0.15,"Recycling","Handmatig beoordelen"))))</f>
        <v>Hergebruik</v>
      </c>
      <c r="K19" s="237" t="str">
        <f>IF(Tabel2640[[#This Row],[Routeadvies]]="Hergebruik","&gt;= 0,75",IF(Tabel2640[[#This Row],[Routeadvies]]="Hergebruik &gt; recycling","&gt;= 0,4 en &lt; 0,75",IF(Tabel2640[[#This Row],[Routeadvies]]="Recycling","&gt;= 0,15 en &lt; 0,4",IF(Tabel2640[[#This Row],[Routeadvies]]="Handmatig beoordelen","&lt; 0,15 of geen score",""))))</f>
        <v>&gt;= 0,75</v>
      </c>
      <c r="L19" s="237" t="str">
        <f t="shared" si="10"/>
        <v>Bijzonder staal</v>
      </c>
      <c r="M19" s="240">
        <f>IFERROR(Tabel2640[[#This Row],[BIM-volume m³]]*INDEX(Tabel17[CO2-nieuw (kg)],1)+Tabel2640[[#This Row],[BIM-volume m³]]*Tabel2640[[#This Row],[Transport Impact]]*IF(Tabel2640[[#This Row],[Transportafstand (km)]]="",0,Tabel2640[[#This Row],[Transportafstand (km)]]),0)</f>
        <v>0</v>
      </c>
      <c r="N19" s="237">
        <f>IFERROR(Tabel2640[[#This Row],[BIM-volume m³]]*INDEX(Tabel17[CO2-Hergebruik (kg)],1)+Tabel2640[[#This Row],[BIM-volume m³]]*Tabel2640[[#This Row],[Transportafstand (km)]]*Tabel2640[[#This Row],[Transport Impact]],0)</f>
        <v>0</v>
      </c>
      <c r="O19" s="237">
        <f>IFERROR(Tabel2640[[#This Row],[BIM-volume m³]]*Staal!$O$3+Tabel2640[[#This Row],[BIM-volume m³]]*Tabel2640[[#This Row],[Transport Impact]]*IF(Tabel2640[[#This Row],[Transportafstand (km)]]="",0,Tabel2640[[#This Row],[Transportafstand (km)]]),0)</f>
        <v>0</v>
      </c>
      <c r="P19" s="240">
        <f>IFERROR(MAX(0,Tabel2640[[#This Row],[Tot. nieuw CO2 (kg)]]-MIN(IF(Tabel2640[[#This Row],[Tot. hergebruik CO2 (kg)]]=0,999999,Tabel2640[[#This Row],[Tot. hergebruik CO2 (kg)]]),IF(Tabel2640[[#This Row],[Tot. recycling Co2 (kg)]]=0,999999,Tabel2640[[#This Row],[Tot. recycling Co2 (kg)]]))),0)</f>
        <v>0</v>
      </c>
      <c r="Q19" s="241" t="str">
        <f t="shared" si="12"/>
        <v>Geen beoordeling</v>
      </c>
      <c r="R19" s="236">
        <f>IFERROR(Tabel2640[[#This Row],[BIM-volume m³]]*Tabel2640[[#This Row],[PRR]],0)</f>
        <v>0</v>
      </c>
      <c r="S19" s="232">
        <f>IFERROR(VLOOKUP(Tabel2640[[#This Row],[Klasse]],Staal!$A$10:$D$13,4,FALSE),0)</f>
        <v>350</v>
      </c>
      <c r="T19" s="246">
        <f>Tabel2640[[#This Row],[Praktisch terugwinbaar volume m³]]*Tabel2640[[#This Row],[Verkoopprijs per m³]]</f>
        <v>0</v>
      </c>
      <c r="U19" s="237" t="str">
        <f t="shared" si="13"/>
        <v>Ja</v>
      </c>
      <c r="V19" s="237" t="str">
        <f t="shared" si="14"/>
        <v>Nee</v>
      </c>
      <c r="W19" s="237" t="str">
        <f t="shared" si="15"/>
        <v>Nee</v>
      </c>
      <c r="X19" s="283" t="str">
        <f t="shared" si="16"/>
        <v>Eigen beoordeling</v>
      </c>
      <c r="Y19" s="251"/>
      <c r="Z19" s="251"/>
      <c r="AA19" s="251"/>
      <c r="AB19" s="251"/>
      <c r="AC19" s="251"/>
      <c r="AD19" s="251"/>
      <c r="AE19" s="251"/>
      <c r="AF19" s="251"/>
      <c r="AG19" s="251"/>
      <c r="AH19" s="251"/>
      <c r="AI19" s="251"/>
    </row>
    <row r="20" spans="1:38">
      <c r="A20" s="287" t="s">
        <v>73</v>
      </c>
      <c r="B20" s="235" t="s">
        <v>68</v>
      </c>
      <c r="C20" s="225">
        <f>'Staal-data'!B7</f>
        <v>0</v>
      </c>
      <c r="D20" s="227">
        <v>4</v>
      </c>
      <c r="E20" s="226">
        <v>20</v>
      </c>
      <c r="F20" s="229">
        <v>1</v>
      </c>
      <c r="G20" s="229">
        <v>2</v>
      </c>
      <c r="H20" s="229">
        <v>3</v>
      </c>
      <c r="I20" s="238">
        <f>IFERROR(ROUND(AVERAGE(Tabel2640[[#This Row],[Demonteerbaarheid]],Tabel2640[[#This Row],[Materiaalconditie ]],Tabel2640[[#This Row],[Marktpotentie ]])/5,2),0)</f>
        <v>0.4</v>
      </c>
      <c r="J20" s="237" t="str">
        <f>IF(Tabel2640[[#This Row],[PRR]]="","Handmatig beoordelen",IF(Tabel2640[[#This Row],[PRR]]&gt;=0.75,"Hergebruik",IF(Tabel2640[[#This Row],[PRR]]&gt;=0.4,"Hergebruik &gt; recycling",IF(Tabel2640[[#This Row],[PRR]]&gt;=0.15,"Recycling","Handmatig beoordelen"))))</f>
        <v>Hergebruik &gt; recycling</v>
      </c>
      <c r="K20" s="237" t="str">
        <f>IF(Tabel2640[[#This Row],[Routeadvies]]="Hergebruik","&gt;= 0,75",IF(Tabel2640[[#This Row],[Routeadvies]]="Hergebruik &gt; recycling","&gt;= 0,4 en &lt; 0,75",IF(Tabel2640[[#This Row],[Routeadvies]]="Recycling","&gt;= 0,15 en &lt; 0,4",IF(Tabel2640[[#This Row],[Routeadvies]]="Handmatig beoordelen","&lt; 0,15 of geen score",""))))</f>
        <v>&gt;= 0,4 en &lt; 0,75</v>
      </c>
      <c r="L20" s="237" t="str">
        <f t="shared" si="10"/>
        <v>B-staal</v>
      </c>
      <c r="M20" s="240">
        <f>IFERROR(Tabel2640[[#This Row],[BIM-volume m³]]*INDEX(Tabel17[CO2-nieuw (kg)],1)+Tabel2640[[#This Row],[BIM-volume m³]]*Tabel2640[[#This Row],[Transport Impact]]*IF(Tabel2640[[#This Row],[Transportafstand (km)]]="",0,Tabel2640[[#This Row],[Transportafstand (km)]]),0)</f>
        <v>0</v>
      </c>
      <c r="N20" s="237">
        <f>IFERROR(Tabel2640[[#This Row],[BIM-volume m³]]*INDEX(Tabel17[CO2-Hergebruik (kg)],1)+Tabel2640[[#This Row],[BIM-volume m³]]*Tabel2640[[#This Row],[Transportafstand (km)]]*Tabel2640[[#This Row],[Transport Impact]],0)</f>
        <v>0</v>
      </c>
      <c r="O20" s="237">
        <f>IFERROR(Tabel2640[[#This Row],[BIM-volume m³]]*Staal!$O$3+Tabel2640[[#This Row],[BIM-volume m³]]*Tabel2640[[#This Row],[Transport Impact]]*IF(Tabel2640[[#This Row],[Transportafstand (km)]]="",0,Tabel2640[[#This Row],[Transportafstand (km)]]),0)</f>
        <v>0</v>
      </c>
      <c r="P20" s="240">
        <f>IFERROR(MAX(0,Tabel2640[[#This Row],[Tot. nieuw CO2 (kg)]]-MIN(IF(Tabel2640[[#This Row],[Tot. hergebruik CO2 (kg)]]=0,999999,Tabel2640[[#This Row],[Tot. hergebruik CO2 (kg)]]),IF(Tabel2640[[#This Row],[Tot. recycling Co2 (kg)]]=0,999999,Tabel2640[[#This Row],[Tot. recycling Co2 (kg)]]))),0)</f>
        <v>0</v>
      </c>
      <c r="Q20" s="241" t="str">
        <f t="shared" si="12"/>
        <v>Geen beoordeling</v>
      </c>
      <c r="R20" s="236">
        <f>IFERROR(Tabel2640[[#This Row],[BIM-volume m³]]*Tabel2640[[#This Row],[PRR]],0)</f>
        <v>0</v>
      </c>
      <c r="S20" s="232">
        <f>IFERROR(VLOOKUP(Tabel2640[[#This Row],[Klasse]],Staal!$A$10:$D$13,4,FALSE),0)</f>
        <v>150</v>
      </c>
      <c r="T20" s="246">
        <f>Tabel2640[[#This Row],[Praktisch terugwinbaar volume m³]]*Tabel2640[[#This Row],[Verkoopprijs per m³]]</f>
        <v>0</v>
      </c>
      <c r="U20" s="237" t="str">
        <f t="shared" si="13"/>
        <v>Nee</v>
      </c>
      <c r="V20" s="237" t="str">
        <f t="shared" si="14"/>
        <v>Nee</v>
      </c>
      <c r="W20" s="237" t="str">
        <f t="shared" si="15"/>
        <v>Nee</v>
      </c>
      <c r="X20" s="283" t="str">
        <f t="shared" si="16"/>
        <v>Niet interessant</v>
      </c>
      <c r="Y20" s="251"/>
      <c r="Z20" s="251"/>
      <c r="AA20" s="251"/>
      <c r="AB20" s="251"/>
      <c r="AC20" s="251"/>
      <c r="AD20" s="251"/>
      <c r="AE20" s="251"/>
      <c r="AF20" s="251"/>
      <c r="AG20" s="251"/>
      <c r="AH20" s="251"/>
      <c r="AI20" s="251"/>
    </row>
    <row r="21" spans="1:38">
      <c r="A21" s="287" t="s">
        <v>73</v>
      </c>
      <c r="B21" s="235" t="s">
        <v>69</v>
      </c>
      <c r="C21" s="225">
        <f>'Staal-data'!B8</f>
        <v>0</v>
      </c>
      <c r="D21" s="227">
        <v>4</v>
      </c>
      <c r="E21" s="226">
        <v>20</v>
      </c>
      <c r="F21" s="229">
        <v>5</v>
      </c>
      <c r="G21" s="229">
        <v>3</v>
      </c>
      <c r="H21" s="229">
        <v>2</v>
      </c>
      <c r="I21" s="238">
        <f>IFERROR(ROUND(AVERAGE(Tabel2640[[#This Row],[Demonteerbaarheid]],Tabel2640[[#This Row],[Materiaalconditie ]],Tabel2640[[#This Row],[Marktpotentie ]])/5,2),0)</f>
        <v>0.67</v>
      </c>
      <c r="J21" s="237" t="str">
        <f>IF(Tabel2640[[#This Row],[PRR]]="","Handmatig beoordelen",IF(Tabel2640[[#This Row],[PRR]]&gt;=0.75,"Hergebruik",IF(Tabel2640[[#This Row],[PRR]]&gt;=0.4,"Hergebruik &gt; recycling",IF(Tabel2640[[#This Row],[PRR]]&gt;=0.15,"Recycling","Handmatig beoordelen"))))</f>
        <v>Hergebruik &gt; recycling</v>
      </c>
      <c r="K21" s="237" t="str">
        <f>IF(Tabel2640[[#This Row],[Routeadvies]]="Hergebruik","&gt;= 0,75",IF(Tabel2640[[#This Row],[Routeadvies]]="Hergebruik &gt; recycling","&gt;= 0,4 en &lt; 0,75",IF(Tabel2640[[#This Row],[Routeadvies]]="Recycling","&gt;= 0,15 en &lt; 0,4",IF(Tabel2640[[#This Row],[Routeadvies]]="Handmatig beoordelen","&lt; 0,15 of geen score",""))))</f>
        <v>&gt;= 0,4 en &lt; 0,75</v>
      </c>
      <c r="L21" s="237" t="str">
        <f t="shared" si="10"/>
        <v>B-staal</v>
      </c>
      <c r="M21" s="240">
        <f>IFERROR(Tabel2640[[#This Row],[BIM-volume m³]]*INDEX(Tabel17[CO2-nieuw (kg)],1)+Tabel2640[[#This Row],[BIM-volume m³]]*Tabel2640[[#This Row],[Transport Impact]]*IF(Tabel2640[[#This Row],[Transportafstand (km)]]="",0,Tabel2640[[#This Row],[Transportafstand (km)]]),0)</f>
        <v>0</v>
      </c>
      <c r="N21" s="237">
        <f>IFERROR(Tabel2640[[#This Row],[BIM-volume m³]]*INDEX(Tabel17[CO2-Hergebruik (kg)],1)+Tabel2640[[#This Row],[BIM-volume m³]]*Tabel2640[[#This Row],[Transportafstand (km)]]*Tabel2640[[#This Row],[Transport Impact]],0)</f>
        <v>0</v>
      </c>
      <c r="O21" s="237">
        <f>IFERROR(Tabel2640[[#This Row],[BIM-volume m³]]*Staal!$O$3+Tabel2640[[#This Row],[BIM-volume m³]]*Tabel2640[[#This Row],[Transport Impact]]*IF(Tabel2640[[#This Row],[Transportafstand (km)]]="",0,Tabel2640[[#This Row],[Transportafstand (km)]]),0)</f>
        <v>0</v>
      </c>
      <c r="P21" s="240">
        <f>IFERROR(MAX(0,Tabel2640[[#This Row],[Tot. nieuw CO2 (kg)]]-MIN(IF(Tabel2640[[#This Row],[Tot. hergebruik CO2 (kg)]]=0,999999,Tabel2640[[#This Row],[Tot. hergebruik CO2 (kg)]]),IF(Tabel2640[[#This Row],[Tot. recycling Co2 (kg)]]=0,999999,Tabel2640[[#This Row],[Tot. recycling Co2 (kg)]]))),0)</f>
        <v>0</v>
      </c>
      <c r="Q21" s="241" t="str">
        <f t="shared" si="12"/>
        <v>Geen beoordeling</v>
      </c>
      <c r="R21" s="236">
        <f>IFERROR(Tabel2640[[#This Row],[BIM-volume m³]]*Tabel2640[[#This Row],[PRR]],0)</f>
        <v>0</v>
      </c>
      <c r="S21" s="232">
        <f>IFERROR(VLOOKUP(Tabel2640[[#This Row],[Klasse]],Staal!$A$10:$D$13,4,FALSE),0)</f>
        <v>150</v>
      </c>
      <c r="T21" s="246">
        <f>Tabel2640[[#This Row],[Praktisch terugwinbaar volume m³]]*Tabel2640[[#This Row],[Verkoopprijs per m³]]</f>
        <v>0</v>
      </c>
      <c r="U21" s="237" t="str">
        <f t="shared" si="13"/>
        <v>Nee</v>
      </c>
      <c r="V21" s="237" t="str">
        <f t="shared" si="14"/>
        <v>Nee</v>
      </c>
      <c r="W21" s="237" t="str">
        <f t="shared" si="15"/>
        <v>Nee</v>
      </c>
      <c r="X21" s="283" t="str">
        <f t="shared" si="16"/>
        <v>Niet interessant</v>
      </c>
      <c r="Y21" s="251"/>
      <c r="Z21" s="251"/>
      <c r="AA21" s="251"/>
      <c r="AB21" s="251"/>
      <c r="AC21" s="251"/>
      <c r="AD21" s="251"/>
      <c r="AE21" s="251"/>
      <c r="AF21" s="251"/>
      <c r="AG21" s="251"/>
      <c r="AH21" s="251"/>
      <c r="AI21" s="251"/>
    </row>
    <row r="22" spans="1:38">
      <c r="A22" s="287" t="s">
        <v>73</v>
      </c>
      <c r="B22" s="235" t="s">
        <v>70</v>
      </c>
      <c r="C22" s="225">
        <f>'Staal-data'!B9</f>
        <v>0</v>
      </c>
      <c r="D22" s="227">
        <v>4</v>
      </c>
      <c r="E22" s="226">
        <v>20</v>
      </c>
      <c r="F22" s="229">
        <v>1</v>
      </c>
      <c r="G22" s="229">
        <v>2</v>
      </c>
      <c r="H22" s="229">
        <v>4</v>
      </c>
      <c r="I22" s="238">
        <f>IFERROR(ROUND(AVERAGE(Tabel2640[[#This Row],[Demonteerbaarheid]],Tabel2640[[#This Row],[Materiaalconditie ]],Tabel2640[[#This Row],[Marktpotentie ]])/5,2),0)</f>
        <v>0.47</v>
      </c>
      <c r="J22" s="237" t="str">
        <f>IF(Tabel2640[[#This Row],[PRR]]="","Handmatig beoordelen",IF(Tabel2640[[#This Row],[PRR]]&gt;=0.75,"Hergebruik",IF(Tabel2640[[#This Row],[PRR]]&gt;=0.4,"Hergebruik &gt; recycling",IF(Tabel2640[[#This Row],[PRR]]&gt;=0.15,"Recycling","Handmatig beoordelen"))))</f>
        <v>Hergebruik &gt; recycling</v>
      </c>
      <c r="K22" s="237" t="str">
        <f>IF(Tabel2640[[#This Row],[Routeadvies]]="Hergebruik","&gt;= 0,75",IF(Tabel2640[[#This Row],[Routeadvies]]="Hergebruik &gt; recycling","&gt;= 0,4 en &lt; 0,75",IF(Tabel2640[[#This Row],[Routeadvies]]="Recycling","&gt;= 0,15 en &lt; 0,4",IF(Tabel2640[[#This Row],[Routeadvies]]="Handmatig beoordelen","&lt; 0,15 of geen score",""))))</f>
        <v>&gt;= 0,4 en &lt; 0,75</v>
      </c>
      <c r="L22" s="237" t="str">
        <f t="shared" si="10"/>
        <v>B-staal</v>
      </c>
      <c r="M22" s="240">
        <f>IFERROR(Tabel2640[[#This Row],[BIM-volume m³]]*INDEX(Tabel17[CO2-nieuw (kg)],1)+Tabel2640[[#This Row],[BIM-volume m³]]*Tabel2640[[#This Row],[Transport Impact]]*IF(Tabel2640[[#This Row],[Transportafstand (km)]]="",0,Tabel2640[[#This Row],[Transportafstand (km)]]),0)</f>
        <v>0</v>
      </c>
      <c r="N22" s="237">
        <f>IFERROR(Tabel2640[[#This Row],[BIM-volume m³]]*INDEX(Tabel17[CO2-Hergebruik (kg)],1)+Tabel2640[[#This Row],[BIM-volume m³]]*Tabel2640[[#This Row],[Transportafstand (km)]]*Tabel2640[[#This Row],[Transport Impact]],0)</f>
        <v>0</v>
      </c>
      <c r="O22" s="237">
        <f>IFERROR(Tabel2640[[#This Row],[BIM-volume m³]]*Staal!$O$3+Tabel2640[[#This Row],[BIM-volume m³]]*Tabel2640[[#This Row],[Transport Impact]]*IF(Tabel2640[[#This Row],[Transportafstand (km)]]="",0,Tabel2640[[#This Row],[Transportafstand (km)]]),0)</f>
        <v>0</v>
      </c>
      <c r="P22" s="240">
        <f>IFERROR(MAX(0,Tabel2640[[#This Row],[Tot. nieuw CO2 (kg)]]-MIN(IF(Tabel2640[[#This Row],[Tot. hergebruik CO2 (kg)]]=0,999999,Tabel2640[[#This Row],[Tot. hergebruik CO2 (kg)]]),IF(Tabel2640[[#This Row],[Tot. recycling Co2 (kg)]]=0,999999,Tabel2640[[#This Row],[Tot. recycling Co2 (kg)]]))),0)</f>
        <v>0</v>
      </c>
      <c r="Q22" s="241" t="str">
        <f t="shared" si="12"/>
        <v>Geen beoordeling</v>
      </c>
      <c r="R22" s="236">
        <f>IFERROR(Tabel2640[[#This Row],[BIM-volume m³]]*Tabel2640[[#This Row],[PRR]],0)</f>
        <v>0</v>
      </c>
      <c r="S22" s="232">
        <f>IFERROR(VLOOKUP(Tabel2640[[#This Row],[Klasse]],Staal!$A$10:$D$13,4,FALSE),0)</f>
        <v>150</v>
      </c>
      <c r="T22" s="246">
        <f>Tabel2640[[#This Row],[Praktisch terugwinbaar volume m³]]*Tabel2640[[#This Row],[Verkoopprijs per m³]]</f>
        <v>0</v>
      </c>
      <c r="U22" s="237" t="str">
        <f t="shared" si="13"/>
        <v>Nee</v>
      </c>
      <c r="V22" s="237" t="str">
        <f t="shared" si="14"/>
        <v>Nee</v>
      </c>
      <c r="W22" s="237" t="str">
        <f t="shared" si="15"/>
        <v>Nee</v>
      </c>
      <c r="X22" s="283" t="str">
        <f t="shared" si="16"/>
        <v>Niet interessant</v>
      </c>
      <c r="Y22" s="251"/>
      <c r="Z22" s="251"/>
      <c r="AA22" s="251"/>
      <c r="AB22" s="251"/>
      <c r="AC22" s="251"/>
      <c r="AD22" s="251"/>
      <c r="AE22" s="251"/>
      <c r="AF22" s="251"/>
      <c r="AG22" s="251"/>
      <c r="AH22" s="251"/>
      <c r="AI22" s="251"/>
    </row>
    <row r="23" spans="1:38">
      <c r="A23" s="287" t="s">
        <v>73</v>
      </c>
      <c r="B23" s="235" t="s">
        <v>71</v>
      </c>
      <c r="C23" s="225">
        <f>'Staal-data'!B10</f>
        <v>0</v>
      </c>
      <c r="D23" s="227">
        <v>4</v>
      </c>
      <c r="E23" s="226">
        <v>20</v>
      </c>
      <c r="F23" s="229">
        <v>5</v>
      </c>
      <c r="G23" s="229">
        <v>2</v>
      </c>
      <c r="H23" s="229">
        <v>2</v>
      </c>
      <c r="I23" s="238">
        <f>IFERROR(ROUND(AVERAGE(Tabel2640[[#This Row],[Demonteerbaarheid]],Tabel2640[[#This Row],[Materiaalconditie ]],Tabel2640[[#This Row],[Marktpotentie ]])/5,2),0)</f>
        <v>0.6</v>
      </c>
      <c r="J23" s="237" t="str">
        <f>IF(Tabel2640[[#This Row],[PRR]]="","Handmatig beoordelen",IF(Tabel2640[[#This Row],[PRR]]&gt;=0.75,"Hergebruik",IF(Tabel2640[[#This Row],[PRR]]&gt;=0.4,"Hergebruik &gt; recycling",IF(Tabel2640[[#This Row],[PRR]]&gt;=0.15,"Recycling","Handmatig beoordelen"))))</f>
        <v>Hergebruik &gt; recycling</v>
      </c>
      <c r="K23" s="237" t="str">
        <f>IF(Tabel2640[[#This Row],[Routeadvies]]="Hergebruik","&gt;= 0,75",IF(Tabel2640[[#This Row],[Routeadvies]]="Hergebruik &gt; recycling","&gt;= 0,4 en &lt; 0,75",IF(Tabel2640[[#This Row],[Routeadvies]]="Recycling","&gt;= 0,15 en &lt; 0,4",IF(Tabel2640[[#This Row],[Routeadvies]]="Handmatig beoordelen","&lt; 0,15 of geen score",""))))</f>
        <v>&gt;= 0,4 en &lt; 0,75</v>
      </c>
      <c r="L23" s="237" t="str">
        <f t="shared" si="10"/>
        <v>Bijzonder staal</v>
      </c>
      <c r="M23" s="240">
        <f>IFERROR(Tabel2640[[#This Row],[BIM-volume m³]]*INDEX(Tabel17[CO2-nieuw (kg)],1)+Tabel2640[[#This Row],[BIM-volume m³]]*Tabel2640[[#This Row],[Transport Impact]]*IF(Tabel2640[[#This Row],[Transportafstand (km)]]="",0,Tabel2640[[#This Row],[Transportafstand (km)]]),0)</f>
        <v>0</v>
      </c>
      <c r="N23" s="237">
        <f>IFERROR(Tabel2640[[#This Row],[BIM-volume m³]]*INDEX(Tabel17[CO2-Hergebruik (kg)],1)+Tabel2640[[#This Row],[BIM-volume m³]]*Tabel2640[[#This Row],[Transportafstand (km)]]*Tabel2640[[#This Row],[Transport Impact]],0)</f>
        <v>0</v>
      </c>
      <c r="O23" s="237">
        <f>IFERROR(Tabel2640[[#This Row],[BIM-volume m³]]*Staal!$O$3+Tabel2640[[#This Row],[BIM-volume m³]]*Tabel2640[[#This Row],[Transport Impact]]*IF(Tabel2640[[#This Row],[Transportafstand (km)]]="",0,Tabel2640[[#This Row],[Transportafstand (km)]]),0)</f>
        <v>0</v>
      </c>
      <c r="P23" s="240">
        <f>IFERROR(MAX(0,Tabel2640[[#This Row],[Tot. nieuw CO2 (kg)]]-MIN(IF(Tabel2640[[#This Row],[Tot. hergebruik CO2 (kg)]]=0,999999,Tabel2640[[#This Row],[Tot. hergebruik CO2 (kg)]]),IF(Tabel2640[[#This Row],[Tot. recycling Co2 (kg)]]=0,999999,Tabel2640[[#This Row],[Tot. recycling Co2 (kg)]]))),0)</f>
        <v>0</v>
      </c>
      <c r="Q23" s="241" t="str">
        <f t="shared" si="12"/>
        <v>Geen beoordeling</v>
      </c>
      <c r="R23" s="236">
        <f>IFERROR(Tabel2640[[#This Row],[BIM-volume m³]]*Tabel2640[[#This Row],[PRR]],0)</f>
        <v>0</v>
      </c>
      <c r="S23" s="232">
        <f>IFERROR(VLOOKUP(Tabel2640[[#This Row],[Klasse]],Staal!$A$10:$D$13,4,FALSE),0)</f>
        <v>350</v>
      </c>
      <c r="T23" s="246">
        <f>Tabel2640[[#This Row],[Praktisch terugwinbaar volume m³]]*Tabel2640[[#This Row],[Verkoopprijs per m³]]</f>
        <v>0</v>
      </c>
      <c r="U23" s="237" t="str">
        <f t="shared" si="13"/>
        <v>Nee</v>
      </c>
      <c r="V23" s="237" t="str">
        <f t="shared" si="14"/>
        <v>Nee</v>
      </c>
      <c r="W23" s="237" t="str">
        <f t="shared" si="15"/>
        <v>Nee</v>
      </c>
      <c r="X23" s="283" t="str">
        <f t="shared" si="16"/>
        <v>Niet interessant</v>
      </c>
      <c r="Y23" s="251"/>
      <c r="Z23" s="251"/>
      <c r="AA23" s="251"/>
      <c r="AB23" s="251"/>
      <c r="AC23" s="251"/>
      <c r="AD23" s="251"/>
      <c r="AE23" s="251"/>
      <c r="AF23" s="251"/>
      <c r="AG23" s="251"/>
      <c r="AH23" s="251"/>
      <c r="AI23" s="251"/>
    </row>
    <row r="24" spans="1:38" s="251" customFormat="1">
      <c r="A24" s="289" t="s">
        <v>73</v>
      </c>
      <c r="B24" s="290" t="s">
        <v>72</v>
      </c>
      <c r="C24" s="225">
        <f>'Staal-data'!B11</f>
        <v>0</v>
      </c>
      <c r="D24" s="230">
        <v>4</v>
      </c>
      <c r="E24" s="226">
        <v>20</v>
      </c>
      <c r="F24" s="231">
        <v>5</v>
      </c>
      <c r="G24" s="231">
        <v>4</v>
      </c>
      <c r="H24" s="231">
        <v>5</v>
      </c>
      <c r="I24" s="291">
        <f>IFERROR(ROUND(AVERAGE(Tabel2640[[#This Row],[Demonteerbaarheid]],Tabel2640[[#This Row],[Materiaalconditie ]],Tabel2640[[#This Row],[Marktpotentie ]])/5,2),0)</f>
        <v>0.93</v>
      </c>
      <c r="J24" s="237" t="str">
        <f>IF(Tabel2640[[#This Row],[PRR]]="","Handmatig beoordelen",IF(Tabel2640[[#This Row],[PRR]]&gt;=0.75,"Hergebruik",IF(Tabel2640[[#This Row],[PRR]]&gt;=0.4,"Hergebruik &gt; recycling",IF(Tabel2640[[#This Row],[PRR]]&gt;=0.15,"Recycling","Handmatig beoordelen"))))</f>
        <v>Hergebruik</v>
      </c>
      <c r="K24" s="237" t="str">
        <f>IF(Tabel2640[[#This Row],[Routeadvies]]="Hergebruik","&gt;= 0,75",IF(Tabel2640[[#This Row],[Routeadvies]]="Hergebruik &gt; recycling","&gt;= 0,4 en &lt; 0,75",IF(Tabel2640[[#This Row],[Routeadvies]]="Recycling","&gt;= 0,15 en &lt; 0,4",IF(Tabel2640[[#This Row],[Routeadvies]]="Handmatig beoordelen","&lt; 0,15 of geen score",""))))</f>
        <v>&gt;= 0,75</v>
      </c>
      <c r="L24" s="237" t="str">
        <f t="shared" si="10"/>
        <v>Bijzonder staal</v>
      </c>
      <c r="M24" s="298">
        <f>IFERROR(Tabel2640[[#This Row],[BIM-volume m³]]*INDEX(Tabel17[CO2-nieuw (kg)],1)+Tabel2640[[#This Row],[BIM-volume m³]]*Tabel2640[[#This Row],[Transport Impact]]*IF(Tabel2640[[#This Row],[Transportafstand (km)]]="",0,Tabel2640[[#This Row],[Transportafstand (km)]]),0)</f>
        <v>0</v>
      </c>
      <c r="N24" s="237">
        <f>IFERROR(Tabel2640[[#This Row],[BIM-volume m³]]*INDEX(Tabel17[CO2-Hergebruik (kg)],1)+Tabel2640[[#This Row],[BIM-volume m³]]*Tabel2640[[#This Row],[Transportafstand (km)]]*Tabel2640[[#This Row],[Transport Impact]],0)</f>
        <v>0</v>
      </c>
      <c r="O24" s="66">
        <f>IFERROR(Tabel2640[[#This Row],[BIM-volume m³]]*Staal!$O$3+Tabel2640[[#This Row],[BIM-volume m³]]*Tabel2640[[#This Row],[Transport Impact]]*IF(Tabel2640[[#This Row],[Transportafstand (km)]]="",0,Tabel2640[[#This Row],[Transportafstand (km)]]),0)</f>
        <v>0</v>
      </c>
      <c r="P24" s="240">
        <f>IFERROR(MAX(0,Tabel2640[[#This Row],[Tot. nieuw CO2 (kg)]]-MIN(IF(Tabel2640[[#This Row],[Tot. hergebruik CO2 (kg)]]=0,999999,Tabel2640[[#This Row],[Tot. hergebruik CO2 (kg)]]),IF(Tabel2640[[#This Row],[Tot. recycling Co2 (kg)]]=0,999999,Tabel2640[[#This Row],[Tot. recycling Co2 (kg)]]))),0)</f>
        <v>0</v>
      </c>
      <c r="Q24" s="292" t="str">
        <f t="shared" si="12"/>
        <v>Geen beoordeling</v>
      </c>
      <c r="R24" s="236">
        <f>IFERROR(Tabel2640[[#This Row],[BIM-volume m³]]*Tabel2640[[#This Row],[PRR]],0)</f>
        <v>0</v>
      </c>
      <c r="S24" s="232">
        <f>IFERROR(VLOOKUP(Tabel2640[[#This Row],[Klasse]],Staal!$A$10:$D$13,4,FALSE),0)</f>
        <v>350</v>
      </c>
      <c r="T24" s="246">
        <f>Tabel2640[[#This Row],[Praktisch terugwinbaar volume m³]]*Tabel2640[[#This Row],[Verkoopprijs per m³]]</f>
        <v>0</v>
      </c>
      <c r="U24" s="296" t="str">
        <f t="shared" si="13"/>
        <v>Ja</v>
      </c>
      <c r="V24" s="237" t="str">
        <f t="shared" si="14"/>
        <v>Nee</v>
      </c>
      <c r="W24" s="237" t="str">
        <f t="shared" si="15"/>
        <v>Nee</v>
      </c>
      <c r="X24" s="283" t="str">
        <f t="shared" si="16"/>
        <v>Eigen beoordeling</v>
      </c>
    </row>
    <row r="25" spans="1:38">
      <c r="A25" s="251"/>
      <c r="B25" s="251"/>
      <c r="C25" s="251"/>
      <c r="D25" s="251"/>
      <c r="E25" s="251"/>
      <c r="F25" s="251"/>
      <c r="G25" s="251"/>
      <c r="H25" s="251"/>
      <c r="I25" s="251"/>
      <c r="J25" s="251"/>
      <c r="K25" s="251"/>
      <c r="L25" s="251"/>
      <c r="M25" s="251"/>
      <c r="N25" s="251"/>
      <c r="O25" s="251"/>
      <c r="P25" s="261"/>
      <c r="Q25" s="251"/>
      <c r="R25" s="251"/>
      <c r="S25" s="251"/>
      <c r="T25" s="251"/>
      <c r="U25" s="251"/>
      <c r="V25" s="251"/>
      <c r="W25" s="251"/>
      <c r="X25" s="251"/>
      <c r="Y25" s="251"/>
      <c r="Z25" s="251"/>
      <c r="AA25" s="251"/>
      <c r="AB25" s="251"/>
      <c r="AC25" s="251"/>
      <c r="AD25" s="251"/>
      <c r="AE25" s="251"/>
      <c r="AF25" s="251"/>
      <c r="AG25" s="251"/>
      <c r="AH25" s="251"/>
      <c r="AI25" s="251"/>
      <c r="AJ25" s="251"/>
      <c r="AK25" s="251"/>
      <c r="AL25" s="251"/>
    </row>
    <row r="26" spans="1:38" ht="43.2">
      <c r="A26" s="253" t="s">
        <v>39</v>
      </c>
      <c r="B26" s="254" t="s">
        <v>430</v>
      </c>
      <c r="C26" s="254" t="s">
        <v>40</v>
      </c>
      <c r="D26" s="316" t="s">
        <v>41</v>
      </c>
      <c r="E26" s="316" t="s">
        <v>42</v>
      </c>
      <c r="F26" s="317" t="s">
        <v>43</v>
      </c>
      <c r="G26" s="317" t="s">
        <v>44</v>
      </c>
      <c r="H26" s="317" t="s">
        <v>45</v>
      </c>
      <c r="I26" s="254" t="s">
        <v>46</v>
      </c>
      <c r="J26" s="254" t="s">
        <v>30</v>
      </c>
      <c r="K26" s="254" t="s">
        <v>366</v>
      </c>
      <c r="L26" s="254" t="s">
        <v>47</v>
      </c>
      <c r="M26" s="255" t="s">
        <v>428</v>
      </c>
      <c r="N26" s="254" t="s">
        <v>432</v>
      </c>
      <c r="O26" s="254" t="s">
        <v>433</v>
      </c>
      <c r="P26" s="256" t="s">
        <v>65</v>
      </c>
      <c r="Q26" s="254" t="s">
        <v>52</v>
      </c>
      <c r="R26" s="254" t="s">
        <v>62</v>
      </c>
      <c r="S26" s="254" t="s">
        <v>54</v>
      </c>
      <c r="T26" s="254" t="s">
        <v>55</v>
      </c>
      <c r="U26" s="318" t="s">
        <v>19</v>
      </c>
      <c r="V26" s="318" t="s">
        <v>429</v>
      </c>
      <c r="W26" s="318" t="s">
        <v>56</v>
      </c>
      <c r="X26" s="319" t="s">
        <v>23</v>
      </c>
      <c r="Y26" s="251"/>
      <c r="Z26" s="251"/>
      <c r="AA26" s="251"/>
      <c r="AB26" s="251"/>
      <c r="AC26" s="251"/>
      <c r="AD26" s="251"/>
      <c r="AE26" s="251"/>
      <c r="AF26" s="251"/>
      <c r="AG26" s="251"/>
      <c r="AH26" s="251"/>
      <c r="AI26" s="251"/>
      <c r="AJ26" s="251"/>
      <c r="AK26" s="251"/>
      <c r="AL26" s="251"/>
    </row>
    <row r="27" spans="1:38">
      <c r="A27" s="287" t="s">
        <v>66</v>
      </c>
      <c r="B27" s="288" t="s">
        <v>58</v>
      </c>
      <c r="C27" s="225">
        <f>'Beton-data'!B2</f>
        <v>476.8</v>
      </c>
      <c r="D27" s="225">
        <v>4</v>
      </c>
      <c r="E27" s="226" t="str">
        <f>""</f>
        <v/>
      </c>
      <c r="F27" s="226">
        <f>AVERAGE(F28:F36)</f>
        <v>3.2222222222222223</v>
      </c>
      <c r="G27" s="226">
        <f t="shared" ref="G27:H27" si="17">AVERAGE(G28:G36)</f>
        <v>2.7777777777777777</v>
      </c>
      <c r="H27" s="226">
        <f t="shared" si="17"/>
        <v>2.3333333333333335</v>
      </c>
      <c r="I27" s="238">
        <f>IFERROR(ROUND(AVERAGE(Tabel264041[[#This Row],[Demonteerbaarheid]],Tabel264041[[#This Row],[Materiaalconditie ]],Tabel264041[[#This Row],[Marktpotentie ]])/5,2),0)</f>
        <v>0.56000000000000005</v>
      </c>
      <c r="J27" s="237" t="str">
        <f>IF(Tabel264041[[#This Row],[PRR]]="","Handmatig beoordelen",IF(Tabel264041[[#This Row],[PRR]]&gt;=0.9,"Hergebruik",IF(Tabel264041[[#This Row],[PRR]]&gt;=0.7,"Hergebruik &gt; recycling",IF(Tabel264041[[#This Row],[PRR]]&gt;=0.35,"Recycling","Handmatig beoordelen"))))</f>
        <v>Recycling</v>
      </c>
      <c r="K27" s="237" t="str">
        <f>IF(Tabel264041[[#This Row],[Routeadvies]]="Hergebruik","&gt;= 0,9",IF(Tabel264041[[#This Row],[Routeadvies]]="Hergebruik &gt; recycling","&gt;= 0,7 en &lt; 0,9",IF(Tabel264041[[#This Row],[Routeadvies]]="Recycling","&gt;= 0,35 en &lt; 0,7",IF(Tabel264041[[#This Row],[Routeadvies]]="Handmatig beoordelen","&lt; 0,35",""))))</f>
        <v>&gt;= 0,35 en &lt; 0,7</v>
      </c>
      <c r="L27" s="236" t="str">
        <f t="shared" ref="L27:L36" si="18">IF($B27="Totaal","Totaal",IF(OR($B27="Funderingen",$B27="Heipalen",$B27="Prefab elementen",$B27="Kanaalplaatvloeren",$B27="Breedplaatvloeren",$B27="Trappen",$B27="Gevelpanelen",$B27="ramen"),"Bijzonder beton",IF($G27="","Handmatig beoordelen",IF($G27&gt;=4,"A-beton",IF($G27&gt;=3,"B-beton",IF($G27&gt;0,"C-beton","Handmatig beoordelen"))))))</f>
        <v>Totaal</v>
      </c>
      <c r="M27" s="242">
        <f>SUM(M28:M36)</f>
        <v>181184</v>
      </c>
      <c r="N27" s="242">
        <f t="shared" ref="N27:O27" si="19">SUM(N28:N36)</f>
        <v>133504</v>
      </c>
      <c r="O27" s="242">
        <f t="shared" si="19"/>
        <v>133504</v>
      </c>
      <c r="P27" s="322">
        <f>IFERROR(MAX(0,Tabel264041[[#This Row],[Tot. nieuw CO2 (kg)]]-MIN(IF(Tabel264041[[#This Row],[Tot. hergebruik CO2 (kg)]]=0,999999,Tabel264041[[#This Row],[Tot. hergebruik CO2 (kg)]]),IF(Tabel264041[[#This Row],[Tot. recycling Co2 (kg)]]=0,999999,Tabel264041[[#This Row],[Tot. recycling Co2 (kg)]]))),0)</f>
        <v>47680</v>
      </c>
      <c r="Q27" s="239" t="str">
        <f t="shared" ref="Q27:Q36" si="20">IF(OR($M27="",$M27=0),"Geen beoordeling",IF(AND($N27=0,$O27=0),"Geen beoordeling",IF($N27&lt;$O27,"Hergebruik",IF($O27&lt;$N27,"Recycling","Hergebruik en recycling gelijk"))))</f>
        <v>Hergebruik en recycling gelijk</v>
      </c>
      <c r="R27" s="236">
        <f>IFERROR(Tabel264041[[#This Row],[BIM-volume m³]]*Tabel264041[[#This Row],[PRR]],0)</f>
        <v>267.00800000000004</v>
      </c>
      <c r="S27" s="247">
        <f>IFERROR(VLOOKUP(Tabel264041[[#This Row],[Klasse]],Beton!$A$10:$D$13,4,FALSE),0)</f>
        <v>0</v>
      </c>
      <c r="T27" s="246">
        <f>+Tabel264041[[#This Row],[Praktisch terugwinbaar volume m³]]*Tabel264041[[#This Row],[Verkoopprijs per m³]]</f>
        <v>0</v>
      </c>
      <c r="U27" s="282" t="str">
        <f t="shared" ref="U27:U36" si="21">IF(OR($L27="Handmatig beoordelen",$L27="",$L27="Totaal",$I27=""),"Handmatig",IF($I27&gt;=70%,"Ja","Nee"))</f>
        <v>Handmatig</v>
      </c>
      <c r="V27" s="237" t="str">
        <f t="shared" ref="V27:V36" si="22">IF(OR($L27="Handmatig beoordelen",$L27="",$L27="Totaal",$Q27=""),"Handmatig",IF(OR($Q27="Hergebruik",$Q27="Recycling",$Q27="Hergebruik en recycling",$Q27="Hergebruik en recycling gelijk"),"Ja","Nee"))</f>
        <v>Handmatig</v>
      </c>
      <c r="W27" s="237" t="str">
        <f t="shared" ref="W27:W36" si="23">IF(OR($L27="Handmatig beoordelen",$L27="",$L27="Totaal"),"Handmatig",IF($T27&gt;0,"Ja","Nee"))</f>
        <v>Handmatig</v>
      </c>
      <c r="X27" s="283" t="str">
        <f t="shared" ref="X27:X36" si="24">IF(OR($U27="Handmatig",$V27="Handmatig",$W27="Handmatig"),"Handmatig beoordelen",IF(COUNTIF($U27:$W27,"Ja")&gt;=2,"Interessant",IF(COUNTIF($U27:$W27,"Ja")=1,"Eigen beoordeling","Niet interessant")))</f>
        <v>Handmatig beoordelen</v>
      </c>
      <c r="Y27" s="251"/>
      <c r="Z27" s="251"/>
      <c r="AA27" s="251"/>
      <c r="AB27" s="251"/>
      <c r="AC27" s="251"/>
      <c r="AD27" s="251"/>
      <c r="AE27" s="251"/>
      <c r="AF27" s="251"/>
      <c r="AG27" s="251"/>
      <c r="AH27" s="251"/>
      <c r="AI27" s="251"/>
      <c r="AJ27" s="251"/>
      <c r="AK27" s="251"/>
      <c r="AL27" s="251"/>
    </row>
    <row r="28" spans="1:38">
      <c r="A28" s="287" t="s">
        <v>66</v>
      </c>
      <c r="B28" s="235" t="s">
        <v>60</v>
      </c>
      <c r="C28" s="225">
        <f>'Beton-data'!B3</f>
        <v>0</v>
      </c>
      <c r="D28" s="227">
        <v>4</v>
      </c>
      <c r="E28" s="226">
        <v>20</v>
      </c>
      <c r="F28" s="228">
        <v>1</v>
      </c>
      <c r="G28" s="228">
        <v>3</v>
      </c>
      <c r="H28" s="228">
        <v>3</v>
      </c>
      <c r="I28" s="238">
        <f>IFERROR(ROUND(AVERAGE(Tabel264041[[#This Row],[Demonteerbaarheid]],Tabel264041[[#This Row],[Materiaalconditie ]],Tabel264041[[#This Row],[Marktpotentie ]])/5,2),0)</f>
        <v>0.47</v>
      </c>
      <c r="J28" s="237" t="str">
        <f>IF(Tabel264041[[#This Row],[PRR]]="","Handmatig beoordelen",IF(Tabel264041[[#This Row],[PRR]]&gt;=0.9,"Hergebruik",IF(Tabel264041[[#This Row],[PRR]]&gt;=0.7,"Hergebruik &gt; recycling",IF(Tabel264041[[#This Row],[PRR]]&gt;=0.35,"Recycling","Handmatig beoordelen"))))</f>
        <v>Recycling</v>
      </c>
      <c r="K28" s="237" t="str">
        <f>IF(Tabel264041[[#This Row],[Routeadvies]]="Hergebruik","&gt;= 0,9",IF(Tabel264041[[#This Row],[Routeadvies]]="Hergebruik &gt; recycling","&gt;= 0,7 en &lt; 0,9",IF(Tabel264041[[#This Row],[Routeadvies]]="Recycling","&gt;= 0,35 en &lt; 0,7",IF(Tabel264041[[#This Row],[Routeadvies]]="Handmatig beoordelen","&lt; 0,35",""))))</f>
        <v>&gt;= 0,35 en &lt; 0,7</v>
      </c>
      <c r="L28" s="236" t="str">
        <f t="shared" si="18"/>
        <v>B-beton</v>
      </c>
      <c r="M28" s="293">
        <f>IFERROR(Tabel264041[[#This Row],[BIM-volume m³]]*Beton!$M$3+Tabel264041[[#This Row],[BIM-volume m³]]*Tabel264041[[#This Row],[Transport Impact]]*IF(Tabel264041[[#This Row],[Transportafstand (km)]]="",0,Tabel264041[[#This Row],[Transportafstand (km)]]),0)</f>
        <v>0</v>
      </c>
      <c r="N28" s="242">
        <f>IFERROR(Tabel264041[[#This Row],[BIM-volume m³]]*Beton!$N$3+Tabel264041[[#This Row],[BIM-volume m³]]*Tabel264041[[#This Row],[Transport Impact]]*IF(Tabel264041[[#This Row],[Transportafstand (km)]]="",0,Tabel264041[[#This Row],[Transportafstand (km)]]),0)</f>
        <v>0</v>
      </c>
      <c r="O28" s="242">
        <f>IFERROR(Tabel264041[[#This Row],[BIM-volume m³]]*Beton!$O$3+Tabel264041[[#This Row],[BIM-volume m³]]*Tabel264041[[#This Row],[Transport Impact]]*IF(Tabel264041[[#This Row],[Transportafstand (km)]]="",0,Tabel264041[[#This Row],[Transportafstand (km)]]),0)</f>
        <v>0</v>
      </c>
      <c r="P28" s="243">
        <f>IFERROR(MAX(0,Tabel264041[[#This Row],[Tot. nieuw CO2 (kg)]]-MIN(IF(Tabel264041[[#This Row],[Tot. hergebruik CO2 (kg)]]=0,999999,Tabel264041[[#This Row],[Tot. hergebruik CO2 (kg)]]),IF(Tabel264041[[#This Row],[Tot. recycling Co2 (kg)]]=0,999999,Tabel264041[[#This Row],[Tot. recycling Co2 (kg)]]))),0)</f>
        <v>0</v>
      </c>
      <c r="Q28" s="241" t="str">
        <f t="shared" si="20"/>
        <v>Geen beoordeling</v>
      </c>
      <c r="R28" s="236">
        <f>IFERROR(Tabel264041[[#This Row],[BIM-volume m³]]*Tabel264041[[#This Row],[PRR]],0)</f>
        <v>0</v>
      </c>
      <c r="S28" s="247">
        <f>IFERROR(VLOOKUP(Tabel264041[[#This Row],[Klasse]],Beton!$A$10:$D$13,4,FALSE),0)</f>
        <v>-7.5</v>
      </c>
      <c r="T28" s="246">
        <f>+Tabel264041[[#This Row],[Praktisch terugwinbaar volume m³]]*Tabel264041[[#This Row],[Verkoopprijs per m³]]</f>
        <v>0</v>
      </c>
      <c r="U28" s="282" t="str">
        <f t="shared" si="21"/>
        <v>Nee</v>
      </c>
      <c r="V28" s="237" t="str">
        <f t="shared" si="22"/>
        <v>Nee</v>
      </c>
      <c r="W28" s="237" t="str">
        <f t="shared" si="23"/>
        <v>Nee</v>
      </c>
      <c r="X28" s="283" t="str">
        <f t="shared" si="24"/>
        <v>Niet interessant</v>
      </c>
      <c r="Y28" s="251"/>
      <c r="Z28" s="251"/>
      <c r="AA28" s="251"/>
      <c r="AB28" s="251"/>
      <c r="AC28" s="251"/>
      <c r="AD28" s="251"/>
      <c r="AE28" s="251"/>
      <c r="AF28" s="251"/>
      <c r="AG28" s="251"/>
      <c r="AH28" s="251"/>
      <c r="AI28" s="251"/>
      <c r="AJ28" s="251"/>
      <c r="AK28" s="251"/>
      <c r="AL28" s="251"/>
    </row>
    <row r="29" spans="1:38">
      <c r="A29" s="287" t="s">
        <v>66</v>
      </c>
      <c r="B29" s="235" t="s">
        <v>61</v>
      </c>
      <c r="C29" s="225">
        <f>'Beton-data'!B4</f>
        <v>0</v>
      </c>
      <c r="D29" s="227">
        <v>4</v>
      </c>
      <c r="E29" s="226">
        <v>20</v>
      </c>
      <c r="F29" s="229">
        <v>1</v>
      </c>
      <c r="G29" s="229">
        <v>3</v>
      </c>
      <c r="H29" s="229">
        <v>2</v>
      </c>
      <c r="I29" s="238">
        <f>IFERROR(ROUND(AVERAGE(Tabel264041[[#This Row],[Demonteerbaarheid]],Tabel264041[[#This Row],[Materiaalconditie ]],Tabel264041[[#This Row],[Marktpotentie ]])/5,2),0)</f>
        <v>0.4</v>
      </c>
      <c r="J29" s="237" t="str">
        <f>IF(Tabel264041[[#This Row],[PRR]]="","Handmatig beoordelen",IF(Tabel264041[[#This Row],[PRR]]&gt;=0.9,"Hergebruik",IF(Tabel264041[[#This Row],[PRR]]&gt;=0.7,"Hergebruik &gt; recycling",IF(Tabel264041[[#This Row],[PRR]]&gt;=0.35,"Recycling","Handmatig beoordelen"))))</f>
        <v>Recycling</v>
      </c>
      <c r="K29" s="237" t="str">
        <f>IF(Tabel264041[[#This Row],[Routeadvies]]="Hergebruik","&gt;= 0,9",IF(Tabel264041[[#This Row],[Routeadvies]]="Hergebruik &gt; recycling","&gt;= 0,7 en &lt; 0,9",IF(Tabel264041[[#This Row],[Routeadvies]]="Recycling","&gt;= 0,35 en &lt; 0,7",IF(Tabel264041[[#This Row],[Routeadvies]]="Handmatig beoordelen","&lt; 0,35",""))))</f>
        <v>&gt;= 0,35 en &lt; 0,7</v>
      </c>
      <c r="L29" s="236" t="str">
        <f t="shared" si="18"/>
        <v>B-beton</v>
      </c>
      <c r="M29" s="293">
        <f>IFERROR(Tabel264041[[#This Row],[BIM-volume m³]]*Beton!$M$3+Tabel264041[[#This Row],[BIM-volume m³]]*Tabel264041[[#This Row],[Transport Impact]]*IF(Tabel264041[[#This Row],[Transportafstand (km)]]="",0,Tabel264041[[#This Row],[Transportafstand (km)]]),0)</f>
        <v>0</v>
      </c>
      <c r="N29" s="242">
        <f>IFERROR(Tabel264041[[#This Row],[BIM-volume m³]]*Beton!$N$3+Tabel264041[[#This Row],[BIM-volume m³]]*Tabel264041[[#This Row],[Transport Impact]]*IF(Tabel264041[[#This Row],[Transportafstand (km)]]="",0,Tabel264041[[#This Row],[Transportafstand (km)]]),0)</f>
        <v>0</v>
      </c>
      <c r="O29" s="242">
        <f>IFERROR(Tabel264041[[#This Row],[BIM-volume m³]]*Beton!$O$3+Tabel264041[[#This Row],[BIM-volume m³]]*Tabel264041[[#This Row],[Transport Impact]]*IF(Tabel264041[[#This Row],[Transportafstand (km)]]="",0,Tabel264041[[#This Row],[Transportafstand (km)]]),0)</f>
        <v>0</v>
      </c>
      <c r="P29" s="243">
        <f>IFERROR(MAX(0,Tabel264041[[#This Row],[Tot. nieuw CO2 (kg)]]-MIN(IF(Tabel264041[[#This Row],[Tot. hergebruik CO2 (kg)]]=0,999999,Tabel264041[[#This Row],[Tot. hergebruik CO2 (kg)]]),IF(Tabel264041[[#This Row],[Tot. recycling Co2 (kg)]]=0,999999,Tabel264041[[#This Row],[Tot. recycling Co2 (kg)]]))),0)</f>
        <v>0</v>
      </c>
      <c r="Q29" s="241" t="str">
        <f t="shared" si="20"/>
        <v>Geen beoordeling</v>
      </c>
      <c r="R29" s="236">
        <f>IFERROR(Tabel264041[[#This Row],[BIM-volume m³]]*Tabel264041[[#This Row],[PRR]],0)</f>
        <v>0</v>
      </c>
      <c r="S29" s="247">
        <f>IFERROR(VLOOKUP(Tabel264041[[#This Row],[Klasse]],Beton!$A$10:$D$13,4,FALSE),0)</f>
        <v>-7.5</v>
      </c>
      <c r="T29" s="246">
        <f>+Tabel264041[[#This Row],[Praktisch terugwinbaar volume m³]]*Tabel264041[[#This Row],[Verkoopprijs per m³]]</f>
        <v>0</v>
      </c>
      <c r="U29" s="237" t="str">
        <f t="shared" si="21"/>
        <v>Nee</v>
      </c>
      <c r="V29" s="237" t="str">
        <f t="shared" si="22"/>
        <v>Nee</v>
      </c>
      <c r="W29" s="237" t="str">
        <f t="shared" si="23"/>
        <v>Nee</v>
      </c>
      <c r="X29" s="283" t="str">
        <f t="shared" si="24"/>
        <v>Niet interessant</v>
      </c>
      <c r="Y29" s="251"/>
      <c r="Z29" s="251"/>
      <c r="AA29" s="251"/>
      <c r="AB29" s="251"/>
      <c r="AC29" s="251"/>
      <c r="AD29" s="251"/>
      <c r="AE29" s="251"/>
      <c r="AF29" s="251"/>
      <c r="AG29" s="251"/>
      <c r="AH29" s="251"/>
      <c r="AI29" s="251"/>
      <c r="AJ29" s="251"/>
      <c r="AK29" s="251"/>
      <c r="AL29" s="251"/>
    </row>
    <row r="30" spans="1:38">
      <c r="A30" s="287" t="s">
        <v>66</v>
      </c>
      <c r="B30" s="235" t="s">
        <v>64</v>
      </c>
      <c r="C30" s="225">
        <f>'Beton-data'!B5</f>
        <v>0</v>
      </c>
      <c r="D30" s="227">
        <v>4</v>
      </c>
      <c r="E30" s="226">
        <v>20</v>
      </c>
      <c r="F30" s="229">
        <v>5</v>
      </c>
      <c r="G30" s="229">
        <v>4</v>
      </c>
      <c r="H30" s="229">
        <v>3</v>
      </c>
      <c r="I30" s="238">
        <f>IFERROR(ROUND(AVERAGE(Tabel264041[[#This Row],[Demonteerbaarheid]],Tabel264041[[#This Row],[Materiaalconditie ]],Tabel264041[[#This Row],[Marktpotentie ]])/5,2),0)</f>
        <v>0.8</v>
      </c>
      <c r="J30" s="237" t="str">
        <f>IF(Tabel264041[[#This Row],[PRR]]="","Handmatig beoordelen",IF(Tabel264041[[#This Row],[PRR]]&gt;=0.9,"Hergebruik",IF(Tabel264041[[#This Row],[PRR]]&gt;=0.7,"Hergebruik &gt; recycling",IF(Tabel264041[[#This Row],[PRR]]&gt;=0.35,"Recycling","Handmatig beoordelen"))))</f>
        <v>Hergebruik &gt; recycling</v>
      </c>
      <c r="K30" s="237" t="str">
        <f>IF(Tabel264041[[#This Row],[Routeadvies]]="Hergebruik","&gt;= 0,9",IF(Tabel264041[[#This Row],[Routeadvies]]="Hergebruik &gt; recycling","&gt;= 0,7 en &lt; 0,9",IF(Tabel264041[[#This Row],[Routeadvies]]="Recycling","&gt;= 0,35 en &lt; 0,7",IF(Tabel264041[[#This Row],[Routeadvies]]="Handmatig beoordelen","&lt; 0,35",""))))</f>
        <v>&gt;= 0,7 en &lt; 0,9</v>
      </c>
      <c r="L30" s="236" t="str">
        <f t="shared" si="18"/>
        <v>Bijzonder beton</v>
      </c>
      <c r="M30" s="293">
        <f>IFERROR(Tabel264041[[#This Row],[BIM-volume m³]]*Beton!$M$3+Tabel264041[[#This Row],[BIM-volume m³]]*Tabel264041[[#This Row],[Transport Impact]]*IF(Tabel264041[[#This Row],[Transportafstand (km)]]="",0,Tabel264041[[#This Row],[Transportafstand (km)]]),0)</f>
        <v>0</v>
      </c>
      <c r="N30" s="242">
        <f>IFERROR(Tabel264041[[#This Row],[BIM-volume m³]]*Beton!$N$3+Tabel264041[[#This Row],[BIM-volume m³]]*Tabel264041[[#This Row],[Transport Impact]]*IF(Tabel264041[[#This Row],[Transportafstand (km)]]="",0,Tabel264041[[#This Row],[Transportafstand (km)]]),0)</f>
        <v>0</v>
      </c>
      <c r="O30" s="242">
        <f>IFERROR(Tabel264041[[#This Row],[BIM-volume m³]]*Beton!$O$3+Tabel264041[[#This Row],[BIM-volume m³]]*Tabel264041[[#This Row],[Transport Impact]]*IF(Tabel264041[[#This Row],[Transportafstand (km)]]="",0,Tabel264041[[#This Row],[Transportafstand (km)]]),0)</f>
        <v>0</v>
      </c>
      <c r="P30" s="243">
        <f>IFERROR(MAX(0,Tabel264041[[#This Row],[Tot. nieuw CO2 (kg)]]-MIN(IF(Tabel264041[[#This Row],[Tot. hergebruik CO2 (kg)]]=0,999999,Tabel264041[[#This Row],[Tot. hergebruik CO2 (kg)]]),IF(Tabel264041[[#This Row],[Tot. recycling Co2 (kg)]]=0,999999,Tabel264041[[#This Row],[Tot. recycling Co2 (kg)]]))),0)</f>
        <v>0</v>
      </c>
      <c r="Q30" s="241" t="str">
        <f t="shared" si="20"/>
        <v>Geen beoordeling</v>
      </c>
      <c r="R30" s="236">
        <f>IFERROR(Tabel264041[[#This Row],[BIM-volume m³]]*Tabel264041[[#This Row],[PRR]],0)</f>
        <v>0</v>
      </c>
      <c r="S30" s="247">
        <f>IFERROR(VLOOKUP(Tabel264041[[#This Row],[Klasse]],Beton!$A$10:$D$13,4,FALSE),0)</f>
        <v>0</v>
      </c>
      <c r="T30" s="246">
        <f>+Tabel264041[[#This Row],[Praktisch terugwinbaar volume m³]]*Tabel264041[[#This Row],[Verkoopprijs per m³]]</f>
        <v>0</v>
      </c>
      <c r="U30" s="237" t="str">
        <f t="shared" si="21"/>
        <v>Ja</v>
      </c>
      <c r="V30" s="237" t="str">
        <f t="shared" si="22"/>
        <v>Nee</v>
      </c>
      <c r="W30" s="237" t="str">
        <f t="shared" si="23"/>
        <v>Nee</v>
      </c>
      <c r="X30" s="283" t="str">
        <f t="shared" si="24"/>
        <v>Eigen beoordeling</v>
      </c>
      <c r="Y30" s="251"/>
      <c r="Z30" s="251"/>
      <c r="AA30" s="251"/>
      <c r="AB30" s="251"/>
      <c r="AC30" s="251"/>
      <c r="AD30" s="251"/>
      <c r="AE30" s="251"/>
      <c r="AF30" s="251"/>
      <c r="AG30" s="251"/>
      <c r="AH30" s="251"/>
      <c r="AI30" s="251"/>
      <c r="AJ30" s="251"/>
      <c r="AK30" s="251"/>
      <c r="AL30" s="251"/>
    </row>
    <row r="31" spans="1:38">
      <c r="A31" s="287" t="s">
        <v>66</v>
      </c>
      <c r="B31" s="235" t="s">
        <v>67</v>
      </c>
      <c r="C31" s="225">
        <f>'Beton-data'!B6</f>
        <v>0</v>
      </c>
      <c r="D31" s="227">
        <v>4</v>
      </c>
      <c r="E31" s="226">
        <v>20</v>
      </c>
      <c r="F31" s="229">
        <v>5</v>
      </c>
      <c r="G31" s="229">
        <v>3</v>
      </c>
      <c r="H31" s="229">
        <v>2</v>
      </c>
      <c r="I31" s="238">
        <f>IFERROR(ROUND(AVERAGE(Tabel264041[[#This Row],[Demonteerbaarheid]],Tabel264041[[#This Row],[Materiaalconditie ]],Tabel264041[[#This Row],[Marktpotentie ]])/5,2),0)</f>
        <v>0.67</v>
      </c>
      <c r="J31" s="237" t="str">
        <f>IF(Tabel264041[[#This Row],[PRR]]="","Handmatig beoordelen",IF(Tabel264041[[#This Row],[PRR]]&gt;=0.9,"Hergebruik",IF(Tabel264041[[#This Row],[PRR]]&gt;=0.7,"Hergebruik &gt; recycling",IF(Tabel264041[[#This Row],[PRR]]&gt;=0.35,"Recycling","Handmatig beoordelen"))))</f>
        <v>Recycling</v>
      </c>
      <c r="K31" s="237" t="str">
        <f>IF(Tabel264041[[#This Row],[Routeadvies]]="Hergebruik","&gt;= 0,9",IF(Tabel264041[[#This Row],[Routeadvies]]="Hergebruik &gt; recycling","&gt;= 0,7 en &lt; 0,9",IF(Tabel264041[[#This Row],[Routeadvies]]="Recycling","&gt;= 0,35 en &lt; 0,7",IF(Tabel264041[[#This Row],[Routeadvies]]="Handmatig beoordelen","&lt; 0,35",""))))</f>
        <v>&gt;= 0,35 en &lt; 0,7</v>
      </c>
      <c r="L31" s="236" t="str">
        <f t="shared" si="18"/>
        <v>B-beton</v>
      </c>
      <c r="M31" s="293">
        <f>IFERROR(Tabel264041[[#This Row],[BIM-volume m³]]*Beton!$M$3+Tabel264041[[#This Row],[BIM-volume m³]]*Tabel264041[[#This Row],[Transport Impact]]*IF(Tabel264041[[#This Row],[Transportafstand (km)]]="",0,Tabel264041[[#This Row],[Transportafstand (km)]]),0)</f>
        <v>0</v>
      </c>
      <c r="N31" s="242">
        <f>IFERROR(Tabel264041[[#This Row],[BIM-volume m³]]*Beton!$N$3+Tabel264041[[#This Row],[BIM-volume m³]]*Tabel264041[[#This Row],[Transport Impact]]*IF(Tabel264041[[#This Row],[Transportafstand (km)]]="",0,Tabel264041[[#This Row],[Transportafstand (km)]]),0)</f>
        <v>0</v>
      </c>
      <c r="O31" s="242">
        <f>IFERROR(Tabel264041[[#This Row],[BIM-volume m³]]*Beton!$O$3+Tabel264041[[#This Row],[BIM-volume m³]]*Tabel264041[[#This Row],[Transport Impact]]*IF(Tabel264041[[#This Row],[Transportafstand (km)]]="",0,Tabel264041[[#This Row],[Transportafstand (km)]]),0)</f>
        <v>0</v>
      </c>
      <c r="P31" s="243">
        <f>IFERROR(MAX(0,Tabel264041[[#This Row],[Tot. nieuw CO2 (kg)]]-MIN(IF(Tabel264041[[#This Row],[Tot. hergebruik CO2 (kg)]]=0,999999,Tabel264041[[#This Row],[Tot. hergebruik CO2 (kg)]]),IF(Tabel264041[[#This Row],[Tot. recycling Co2 (kg)]]=0,999999,Tabel264041[[#This Row],[Tot. recycling Co2 (kg)]]))),0)</f>
        <v>0</v>
      </c>
      <c r="Q31" s="241" t="str">
        <f t="shared" si="20"/>
        <v>Geen beoordeling</v>
      </c>
      <c r="R31" s="236">
        <f>IFERROR(Tabel264041[[#This Row],[BIM-volume m³]]*Tabel264041[[#This Row],[PRR]],0)</f>
        <v>0</v>
      </c>
      <c r="S31" s="247">
        <f>IFERROR(VLOOKUP(Tabel264041[[#This Row],[Klasse]],Beton!$A$10:$D$13,4,FALSE),0)</f>
        <v>-7.5</v>
      </c>
      <c r="T31" s="246">
        <f>+Tabel264041[[#This Row],[Praktisch terugwinbaar volume m³]]*Tabel264041[[#This Row],[Verkoopprijs per m³]]</f>
        <v>0</v>
      </c>
      <c r="U31" s="282" t="str">
        <f t="shared" si="21"/>
        <v>Nee</v>
      </c>
      <c r="V31" s="237" t="str">
        <f t="shared" si="22"/>
        <v>Nee</v>
      </c>
      <c r="W31" s="237" t="str">
        <f t="shared" si="23"/>
        <v>Nee</v>
      </c>
      <c r="X31" s="283" t="str">
        <f t="shared" si="24"/>
        <v>Niet interessant</v>
      </c>
      <c r="Y31" s="251"/>
      <c r="Z31" s="251"/>
      <c r="AA31" s="251"/>
      <c r="AB31" s="251"/>
      <c r="AC31" s="251"/>
      <c r="AD31" s="251"/>
      <c r="AE31" s="251"/>
      <c r="AF31" s="251"/>
      <c r="AG31" s="251"/>
      <c r="AH31" s="251"/>
      <c r="AI31" s="251"/>
      <c r="AJ31" s="251"/>
      <c r="AK31" s="251"/>
      <c r="AL31" s="251"/>
    </row>
    <row r="32" spans="1:38">
      <c r="A32" s="287" t="s">
        <v>66</v>
      </c>
      <c r="B32" s="235" t="s">
        <v>68</v>
      </c>
      <c r="C32" s="225">
        <f>'Beton-data'!B7</f>
        <v>115.94</v>
      </c>
      <c r="D32" s="227">
        <v>4</v>
      </c>
      <c r="E32" s="226">
        <v>20</v>
      </c>
      <c r="F32" s="229">
        <v>1</v>
      </c>
      <c r="G32" s="229">
        <v>2</v>
      </c>
      <c r="H32" s="229">
        <v>3</v>
      </c>
      <c r="I32" s="238">
        <f>IFERROR(ROUND(AVERAGE(Tabel264041[[#This Row],[Demonteerbaarheid]],Tabel264041[[#This Row],[Materiaalconditie ]],Tabel264041[[#This Row],[Marktpotentie ]])/5,2),0)</f>
        <v>0.4</v>
      </c>
      <c r="J32" s="237" t="str">
        <f>IF(Tabel264041[[#This Row],[PRR]]="","Handmatig beoordelen",IF(Tabel264041[[#This Row],[PRR]]&gt;=0.9,"Hergebruik",IF(Tabel264041[[#This Row],[PRR]]&gt;=0.7,"Hergebruik &gt; recycling",IF(Tabel264041[[#This Row],[PRR]]&gt;=0.35,"Recycling","Handmatig beoordelen"))))</f>
        <v>Recycling</v>
      </c>
      <c r="K32" s="237" t="str">
        <f>IF(Tabel264041[[#This Row],[Routeadvies]]="Hergebruik","&gt;= 0,9",IF(Tabel264041[[#This Row],[Routeadvies]]="Hergebruik &gt; recycling","&gt;= 0,7 en &lt; 0,9",IF(Tabel264041[[#This Row],[Routeadvies]]="Recycling","&gt;= 0,35 en &lt; 0,7",IF(Tabel264041[[#This Row],[Routeadvies]]="Handmatig beoordelen","&lt; 0,35",""))))</f>
        <v>&gt;= 0,35 en &lt; 0,7</v>
      </c>
      <c r="L32" s="236" t="str">
        <f t="shared" si="18"/>
        <v>C-beton</v>
      </c>
      <c r="M32" s="293">
        <f>IFERROR(Tabel264041[[#This Row],[BIM-volume m³]]*Beton!$M$3+Tabel264041[[#This Row],[BIM-volume m³]]*Tabel264041[[#This Row],[Transport Impact]]*IF(Tabel264041[[#This Row],[Transportafstand (km)]]="",0,Tabel264041[[#This Row],[Transportafstand (km)]]),0)</f>
        <v>44057.2</v>
      </c>
      <c r="N32" s="242">
        <f>IFERROR(Tabel264041[[#This Row],[BIM-volume m³]]*Beton!$N$3+Tabel264041[[#This Row],[BIM-volume m³]]*Tabel264041[[#This Row],[Transport Impact]]*IF(Tabel264041[[#This Row],[Transportafstand (km)]]="",0,Tabel264041[[#This Row],[Transportafstand (km)]]),0)</f>
        <v>32463.200000000001</v>
      </c>
      <c r="O32" s="242">
        <f>IFERROR(Tabel264041[[#This Row],[BIM-volume m³]]*Beton!$O$3+Tabel264041[[#This Row],[BIM-volume m³]]*Tabel264041[[#This Row],[Transport Impact]]*IF(Tabel264041[[#This Row],[Transportafstand (km)]]="",0,Tabel264041[[#This Row],[Transportafstand (km)]]),0)</f>
        <v>32463.200000000001</v>
      </c>
      <c r="P32" s="243">
        <f>IFERROR(MAX(0,Tabel264041[[#This Row],[Tot. nieuw CO2 (kg)]]-MIN(IF(Tabel264041[[#This Row],[Tot. hergebruik CO2 (kg)]]=0,999999,Tabel264041[[#This Row],[Tot. hergebruik CO2 (kg)]]),IF(Tabel264041[[#This Row],[Tot. recycling Co2 (kg)]]=0,999999,Tabel264041[[#This Row],[Tot. recycling Co2 (kg)]]))),0)</f>
        <v>11593.999999999996</v>
      </c>
      <c r="Q32" s="241" t="str">
        <f t="shared" si="20"/>
        <v>Hergebruik en recycling gelijk</v>
      </c>
      <c r="R32" s="236">
        <f>IFERROR(Tabel264041[[#This Row],[BIM-volume m³]]*Tabel264041[[#This Row],[PRR]],0)</f>
        <v>46.376000000000005</v>
      </c>
      <c r="S32" s="247">
        <f>IFERROR(VLOOKUP(Tabel264041[[#This Row],[Klasse]],Beton!$A$10:$D$13,4,FALSE),0)</f>
        <v>-22.5</v>
      </c>
      <c r="T32" s="246">
        <f>+Tabel264041[[#This Row],[Praktisch terugwinbaar volume m³]]*Tabel264041[[#This Row],[Verkoopprijs per m³]]</f>
        <v>-1043.46</v>
      </c>
      <c r="U32" s="282" t="str">
        <f t="shared" si="21"/>
        <v>Nee</v>
      </c>
      <c r="V32" s="237" t="str">
        <f t="shared" si="22"/>
        <v>Ja</v>
      </c>
      <c r="W32" s="237" t="str">
        <f t="shared" si="23"/>
        <v>Nee</v>
      </c>
      <c r="X32" s="283" t="str">
        <f t="shared" si="24"/>
        <v>Eigen beoordeling</v>
      </c>
      <c r="Y32" s="251"/>
      <c r="Z32" s="251"/>
      <c r="AA32" s="251"/>
      <c r="AB32" s="251"/>
      <c r="AC32" s="251"/>
      <c r="AD32" s="251"/>
      <c r="AE32" s="251"/>
      <c r="AF32" s="251"/>
      <c r="AG32" s="251"/>
      <c r="AH32" s="251"/>
      <c r="AI32" s="251"/>
      <c r="AJ32" s="251"/>
      <c r="AK32" s="251"/>
      <c r="AL32" s="251"/>
    </row>
    <row r="33" spans="1:38">
      <c r="A33" s="287" t="s">
        <v>66</v>
      </c>
      <c r="B33" s="235" t="s">
        <v>69</v>
      </c>
      <c r="C33" s="225">
        <f>'Beton-data'!B8</f>
        <v>6.58</v>
      </c>
      <c r="D33" s="227">
        <v>4</v>
      </c>
      <c r="E33" s="226">
        <v>20</v>
      </c>
      <c r="F33" s="229">
        <v>5</v>
      </c>
      <c r="G33" s="229">
        <v>3</v>
      </c>
      <c r="H33" s="229">
        <v>1</v>
      </c>
      <c r="I33" s="238">
        <f>IFERROR(ROUND(AVERAGE(Tabel264041[[#This Row],[Demonteerbaarheid]],Tabel264041[[#This Row],[Materiaalconditie ]],Tabel264041[[#This Row],[Marktpotentie ]])/5,2),0)</f>
        <v>0.6</v>
      </c>
      <c r="J33" s="237" t="str">
        <f>IF(Tabel264041[[#This Row],[PRR]]="","Handmatig beoordelen",IF(Tabel264041[[#This Row],[PRR]]&gt;=0.9,"Hergebruik",IF(Tabel264041[[#This Row],[PRR]]&gt;=0.7,"Hergebruik &gt; recycling",IF(Tabel264041[[#This Row],[PRR]]&gt;=0.35,"Recycling","Handmatig beoordelen"))))</f>
        <v>Recycling</v>
      </c>
      <c r="K33" s="237" t="str">
        <f>IF(Tabel264041[[#This Row],[Routeadvies]]="Hergebruik","&gt;= 0,9",IF(Tabel264041[[#This Row],[Routeadvies]]="Hergebruik &gt; recycling","&gt;= 0,7 en &lt; 0,9",IF(Tabel264041[[#This Row],[Routeadvies]]="Recycling","&gt;= 0,35 en &lt; 0,7",IF(Tabel264041[[#This Row],[Routeadvies]]="Handmatig beoordelen","&lt; 0,35",""))))</f>
        <v>&gt;= 0,35 en &lt; 0,7</v>
      </c>
      <c r="L33" s="236" t="str">
        <f t="shared" si="18"/>
        <v>B-beton</v>
      </c>
      <c r="M33" s="293">
        <f>IFERROR(Tabel264041[[#This Row],[BIM-volume m³]]*Beton!$M$3+Tabel264041[[#This Row],[BIM-volume m³]]*Tabel264041[[#This Row],[Transport Impact]]*IF(Tabel264041[[#This Row],[Transportafstand (km)]]="",0,Tabel264041[[#This Row],[Transportafstand (km)]]),0)</f>
        <v>2500.4</v>
      </c>
      <c r="N33" s="242">
        <f>IFERROR(Tabel264041[[#This Row],[BIM-volume m³]]*Beton!$N$3+Tabel264041[[#This Row],[BIM-volume m³]]*Tabel264041[[#This Row],[Transport Impact]]*IF(Tabel264041[[#This Row],[Transportafstand (km)]]="",0,Tabel264041[[#This Row],[Transportafstand (km)]]),0)</f>
        <v>1842.4</v>
      </c>
      <c r="O33" s="242">
        <f>IFERROR(Tabel264041[[#This Row],[BIM-volume m³]]*Beton!$O$3+Tabel264041[[#This Row],[BIM-volume m³]]*Tabel264041[[#This Row],[Transport Impact]]*IF(Tabel264041[[#This Row],[Transportafstand (km)]]="",0,Tabel264041[[#This Row],[Transportafstand (km)]]),0)</f>
        <v>1842.4</v>
      </c>
      <c r="P33" s="242">
        <f>IFERROR(MAX(0,Tabel264041[[#This Row],[Tot. nieuw CO2 (kg)]]-MIN(IF(Tabel264041[[#This Row],[Tot. hergebruik CO2 (kg)]]=0,999999,Tabel264041[[#This Row],[Tot. hergebruik CO2 (kg)]]),IF(Tabel264041[[#This Row],[Tot. recycling Co2 (kg)]]=0,999999,Tabel264041[[#This Row],[Tot. recycling Co2 (kg)]]))),0)</f>
        <v>658</v>
      </c>
      <c r="Q33" s="241" t="str">
        <f t="shared" si="20"/>
        <v>Hergebruik en recycling gelijk</v>
      </c>
      <c r="R33" s="284">
        <f>IFERROR(Tabel264041[[#This Row],[BIM-volume m³]]*Tabel264041[[#This Row],[PRR]],0)</f>
        <v>3.948</v>
      </c>
      <c r="S33" s="247">
        <f>IFERROR(VLOOKUP(Tabel264041[[#This Row],[Klasse]],Beton!$A$10:$D$13,4,FALSE),0)</f>
        <v>-7.5</v>
      </c>
      <c r="T33" s="246">
        <f>+Tabel264041[[#This Row],[Praktisch terugwinbaar volume m³]]*Tabel264041[[#This Row],[Verkoopprijs per m³]]</f>
        <v>-29.61</v>
      </c>
      <c r="U33" s="282" t="str">
        <f t="shared" si="21"/>
        <v>Nee</v>
      </c>
      <c r="V33" s="237" t="str">
        <f t="shared" si="22"/>
        <v>Ja</v>
      </c>
      <c r="W33" s="237" t="str">
        <f t="shared" si="23"/>
        <v>Nee</v>
      </c>
      <c r="X33" s="283" t="str">
        <f t="shared" si="24"/>
        <v>Eigen beoordeling</v>
      </c>
      <c r="Y33" s="251"/>
      <c r="Z33" s="251"/>
      <c r="AA33" s="251"/>
      <c r="AB33" s="251"/>
      <c r="AC33" s="251"/>
      <c r="AD33" s="251"/>
      <c r="AE33" s="251"/>
      <c r="AF33" s="251"/>
      <c r="AG33" s="251"/>
      <c r="AH33" s="251"/>
      <c r="AI33" s="251"/>
      <c r="AJ33" s="251"/>
      <c r="AK33" s="251"/>
      <c r="AL33" s="251"/>
    </row>
    <row r="34" spans="1:38">
      <c r="A34" s="287" t="s">
        <v>66</v>
      </c>
      <c r="B34" s="235" t="s">
        <v>70</v>
      </c>
      <c r="C34" s="225">
        <f>'Beton-data'!B9</f>
        <v>354.28</v>
      </c>
      <c r="D34" s="227">
        <v>4</v>
      </c>
      <c r="E34" s="226">
        <v>20</v>
      </c>
      <c r="F34" s="229">
        <v>1</v>
      </c>
      <c r="G34" s="229">
        <v>2</v>
      </c>
      <c r="H34" s="229">
        <v>2</v>
      </c>
      <c r="I34" s="238">
        <f>IFERROR(ROUND(AVERAGE(Tabel264041[[#This Row],[Demonteerbaarheid]],Tabel264041[[#This Row],[Materiaalconditie ]],Tabel264041[[#This Row],[Marktpotentie ]])/5,2),0)</f>
        <v>0.33</v>
      </c>
      <c r="J34" s="237" t="str">
        <f>IF(Tabel264041[[#This Row],[PRR]]="","Handmatig beoordelen",IF(Tabel264041[[#This Row],[PRR]]&gt;=0.9,"Hergebruik",IF(Tabel264041[[#This Row],[PRR]]&gt;=0.7,"Hergebruik &gt; recycling",IF(Tabel264041[[#This Row],[PRR]]&gt;=0.35,"Recycling","Handmatig beoordelen"))))</f>
        <v>Handmatig beoordelen</v>
      </c>
      <c r="K34" s="237" t="str">
        <f>IF(Tabel264041[[#This Row],[Routeadvies]]="Hergebruik","&gt;= 0,9",IF(Tabel264041[[#This Row],[Routeadvies]]="Hergebruik &gt; recycling","&gt;= 0,7 en &lt; 0,9",IF(Tabel264041[[#This Row],[Routeadvies]]="Recycling","&gt;= 0,35 en &lt; 0,7",IF(Tabel264041[[#This Row],[Routeadvies]]="Handmatig beoordelen","&lt; 0,35",""))))</f>
        <v>&lt; 0,35</v>
      </c>
      <c r="L34" s="236" t="str">
        <f t="shared" si="18"/>
        <v>C-beton</v>
      </c>
      <c r="M34" s="293">
        <f>IFERROR(Tabel264041[[#This Row],[BIM-volume m³]]*Beton!$M$3+Tabel264041[[#This Row],[BIM-volume m³]]*Tabel264041[[#This Row],[Transport Impact]]*IF(Tabel264041[[#This Row],[Transportafstand (km)]]="",0,Tabel264041[[#This Row],[Transportafstand (km)]]),0)</f>
        <v>134626.4</v>
      </c>
      <c r="N34" s="242">
        <f>IFERROR(Tabel264041[[#This Row],[BIM-volume m³]]*Beton!$N$3+Tabel264041[[#This Row],[BIM-volume m³]]*Tabel264041[[#This Row],[Transport Impact]]*IF(Tabel264041[[#This Row],[Transportafstand (km)]]="",0,Tabel264041[[#This Row],[Transportafstand (km)]]),0)</f>
        <v>99198.399999999994</v>
      </c>
      <c r="O34" s="242">
        <f>IFERROR(Tabel264041[[#This Row],[BIM-volume m³]]*Beton!$O$3+Tabel264041[[#This Row],[BIM-volume m³]]*Tabel264041[[#This Row],[Transport Impact]]*IF(Tabel264041[[#This Row],[Transportafstand (km)]]="",0,Tabel264041[[#This Row],[Transportafstand (km)]]),0)</f>
        <v>99198.399999999994</v>
      </c>
      <c r="P34" s="242">
        <f>IFERROR(MAX(0,Tabel264041[[#This Row],[Tot. nieuw CO2 (kg)]]-MIN(IF(Tabel264041[[#This Row],[Tot. hergebruik CO2 (kg)]]=0,999999,Tabel264041[[#This Row],[Tot. hergebruik CO2 (kg)]]),IF(Tabel264041[[#This Row],[Tot. recycling Co2 (kg)]]=0,999999,Tabel264041[[#This Row],[Tot. recycling Co2 (kg)]]))),0)</f>
        <v>35428</v>
      </c>
      <c r="Q34" s="244" t="str">
        <f t="shared" si="20"/>
        <v>Hergebruik en recycling gelijk</v>
      </c>
      <c r="R34" s="236">
        <f>IFERROR(Tabel264041[[#This Row],[BIM-volume m³]]*Tabel264041[[#This Row],[PRR]],0)</f>
        <v>116.91239999999999</v>
      </c>
      <c r="S34" s="248">
        <f>IFERROR(VLOOKUP(Tabel264041[[#This Row],[Klasse]],Beton!$A$10:$D$13,4,FALSE),0)</f>
        <v>-22.5</v>
      </c>
      <c r="T34" s="246">
        <f>+Tabel264041[[#This Row],[Praktisch terugwinbaar volume m³]]*Tabel264041[[#This Row],[Verkoopprijs per m³]]</f>
        <v>-2630.529</v>
      </c>
      <c r="U34" s="282" t="str">
        <f t="shared" si="21"/>
        <v>Nee</v>
      </c>
      <c r="V34" s="237" t="str">
        <f t="shared" si="22"/>
        <v>Ja</v>
      </c>
      <c r="W34" s="237" t="str">
        <f t="shared" si="23"/>
        <v>Nee</v>
      </c>
      <c r="X34" s="283" t="str">
        <f t="shared" si="24"/>
        <v>Eigen beoordeling</v>
      </c>
      <c r="Y34" s="251"/>
      <c r="Z34" s="251"/>
      <c r="AA34" s="251"/>
      <c r="AB34" s="251"/>
      <c r="AC34" s="251"/>
      <c r="AD34" s="251"/>
      <c r="AE34" s="251"/>
      <c r="AF34" s="251"/>
      <c r="AG34" s="251"/>
      <c r="AH34" s="251"/>
      <c r="AI34" s="251"/>
      <c r="AJ34" s="251"/>
      <c r="AK34" s="251"/>
      <c r="AL34" s="251"/>
    </row>
    <row r="35" spans="1:38">
      <c r="A35" s="287" t="s">
        <v>66</v>
      </c>
      <c r="B35" s="235" t="s">
        <v>71</v>
      </c>
      <c r="C35" s="225">
        <f>'Beton-data'!B10</f>
        <v>0</v>
      </c>
      <c r="D35" s="227">
        <v>4</v>
      </c>
      <c r="E35" s="226">
        <v>20</v>
      </c>
      <c r="F35" s="229">
        <v>5</v>
      </c>
      <c r="G35" s="229">
        <v>1</v>
      </c>
      <c r="H35" s="229">
        <v>2</v>
      </c>
      <c r="I35" s="238">
        <f>IFERROR(ROUND(AVERAGE(Tabel264041[[#This Row],[Demonteerbaarheid]],Tabel264041[[#This Row],[Materiaalconditie ]],Tabel264041[[#This Row],[Marktpotentie ]])/5,2),0)</f>
        <v>0.53</v>
      </c>
      <c r="J35" s="237" t="str">
        <f>IF(Tabel264041[[#This Row],[PRR]]="","Handmatig beoordelen",IF(Tabel264041[[#This Row],[PRR]]&gt;=0.9,"Hergebruik",IF(Tabel264041[[#This Row],[PRR]]&gt;=0.7,"Hergebruik &gt; recycling",IF(Tabel264041[[#This Row],[PRR]]&gt;=0.35,"Recycling","Handmatig beoordelen"))))</f>
        <v>Recycling</v>
      </c>
      <c r="K35" s="237" t="str">
        <f>IF(Tabel264041[[#This Row],[Routeadvies]]="Hergebruik","&gt;= 0,9",IF(Tabel264041[[#This Row],[Routeadvies]]="Hergebruik &gt; recycling","&gt;= 0,7 en &lt; 0,9",IF(Tabel264041[[#This Row],[Routeadvies]]="Recycling","&gt;= 0,35 en &lt; 0,7",IF(Tabel264041[[#This Row],[Routeadvies]]="Handmatig beoordelen","&lt; 0,35",""))))</f>
        <v>&gt;= 0,35 en &lt; 0,7</v>
      </c>
      <c r="L35" s="236" t="str">
        <f t="shared" si="18"/>
        <v>Bijzonder beton</v>
      </c>
      <c r="M35" s="293">
        <f>IFERROR(Tabel264041[[#This Row],[BIM-volume m³]]*Beton!$M$3+Tabel264041[[#This Row],[BIM-volume m³]]*Tabel264041[[#This Row],[Transport Impact]]*IF(Tabel264041[[#This Row],[Transportafstand (km)]]="",0,Tabel264041[[#This Row],[Transportafstand (km)]]),0)</f>
        <v>0</v>
      </c>
      <c r="N35" s="242">
        <f>IFERROR(Tabel264041[[#This Row],[BIM-volume m³]]*Beton!$N$3+Tabel264041[[#This Row],[BIM-volume m³]]*Tabel264041[[#This Row],[Transport Impact]]*IF(Tabel264041[[#This Row],[Transportafstand (km)]]="",0,Tabel264041[[#This Row],[Transportafstand (km)]]),0)</f>
        <v>0</v>
      </c>
      <c r="O35" s="242">
        <f>IFERROR(Tabel264041[[#This Row],[BIM-volume m³]]*Beton!$O$3+Tabel264041[[#This Row],[BIM-volume m³]]*Tabel264041[[#This Row],[Transport Impact]]*IF(Tabel264041[[#This Row],[Transportafstand (km)]]="",0,Tabel264041[[#This Row],[Transportafstand (km)]]),0)</f>
        <v>0</v>
      </c>
      <c r="P35" s="242">
        <f>IFERROR(MAX(0,Tabel264041[[#This Row],[Tot. nieuw CO2 (kg)]]-MIN(IF(Tabel264041[[#This Row],[Tot. hergebruik CO2 (kg)]]=0,999999,Tabel264041[[#This Row],[Tot. hergebruik CO2 (kg)]]),IF(Tabel264041[[#This Row],[Tot. recycling Co2 (kg)]]=0,999999,Tabel264041[[#This Row],[Tot. recycling Co2 (kg)]]))),0)</f>
        <v>0</v>
      </c>
      <c r="Q35" s="241" t="str">
        <f t="shared" si="20"/>
        <v>Geen beoordeling</v>
      </c>
      <c r="R35" s="294">
        <f>IFERROR(Tabel264041[[#This Row],[BIM-volume m³]]*Tabel264041[[#This Row],[PRR]],0)</f>
        <v>0</v>
      </c>
      <c r="S35" s="247">
        <f>IFERROR(VLOOKUP(Tabel264041[[#This Row],[Klasse]],Beton!$A$10:$D$13,4,FALSE),0)</f>
        <v>0</v>
      </c>
      <c r="T35" s="246">
        <f>+Tabel264041[[#This Row],[Praktisch terugwinbaar volume m³]]*Tabel264041[[#This Row],[Verkoopprijs per m³]]</f>
        <v>0</v>
      </c>
      <c r="U35" s="282" t="str">
        <f t="shared" si="21"/>
        <v>Nee</v>
      </c>
      <c r="V35" s="237" t="str">
        <f t="shared" si="22"/>
        <v>Nee</v>
      </c>
      <c r="W35" s="237" t="str">
        <f t="shared" si="23"/>
        <v>Nee</v>
      </c>
      <c r="X35" s="283" t="str">
        <f t="shared" si="24"/>
        <v>Niet interessant</v>
      </c>
      <c r="Y35" s="251"/>
      <c r="Z35" s="251"/>
      <c r="AA35" s="251"/>
      <c r="AB35" s="251"/>
      <c r="AC35" s="251"/>
      <c r="AD35" s="251"/>
      <c r="AE35" s="251"/>
      <c r="AF35" s="251"/>
      <c r="AG35" s="251"/>
      <c r="AH35" s="251"/>
      <c r="AI35" s="251"/>
      <c r="AJ35" s="251"/>
      <c r="AK35" s="251"/>
      <c r="AL35" s="251"/>
    </row>
    <row r="36" spans="1:38" s="251" customFormat="1" ht="13.95" customHeight="1">
      <c r="A36" s="289" t="s">
        <v>66</v>
      </c>
      <c r="B36" s="290" t="s">
        <v>72</v>
      </c>
      <c r="C36" s="225">
        <f>'Beton-data'!B11</f>
        <v>0</v>
      </c>
      <c r="D36" s="227">
        <v>4</v>
      </c>
      <c r="E36" s="226">
        <v>20</v>
      </c>
      <c r="F36" s="231">
        <v>5</v>
      </c>
      <c r="G36" s="231">
        <v>4</v>
      </c>
      <c r="H36" s="231">
        <v>3</v>
      </c>
      <c r="I36" s="291">
        <f>IFERROR(ROUND(AVERAGE(Tabel264041[[#This Row],[Demonteerbaarheid]],Tabel264041[[#This Row],[Materiaalconditie ]],Tabel264041[[#This Row],[Marktpotentie ]])/5,2),0)</f>
        <v>0.8</v>
      </c>
      <c r="J36" s="237" t="str">
        <f>IF(Tabel264041[[#This Row],[PRR]]="","Handmatig beoordelen",IF(Tabel264041[[#This Row],[PRR]]&gt;=0.9,"Hergebruik",IF(Tabel264041[[#This Row],[PRR]]&gt;=0.7,"Hergebruik &gt; recycling",IF(Tabel264041[[#This Row],[PRR]]&gt;=0.35,"Recycling","Handmatig beoordelen"))))</f>
        <v>Hergebruik &gt; recycling</v>
      </c>
      <c r="K36" s="237" t="str">
        <f>IF(Tabel264041[[#This Row],[Routeadvies]]="Hergebruik","&gt;= 0,9",IF(Tabel264041[[#This Row],[Routeadvies]]="Hergebruik &gt; recycling","&gt;= 0,7 en &lt; 0,9",IF(Tabel264041[[#This Row],[Routeadvies]]="Recycling","&gt;= 0,35 en &lt; 0,7",IF(Tabel264041[[#This Row],[Routeadvies]]="Handmatig beoordelen","&lt; 0,35",""))))</f>
        <v>&gt;= 0,7 en &lt; 0,9</v>
      </c>
      <c r="L36" s="284" t="str">
        <f t="shared" si="18"/>
        <v>Bijzonder beton</v>
      </c>
      <c r="M36" s="293">
        <f>IFERROR(Tabel264041[[#This Row],[BIM-volume m³]]*Beton!$M$3+Tabel264041[[#This Row],[BIM-volume m³]]*Tabel264041[[#This Row],[Transport Impact]]*IF(Tabel264041[[#This Row],[Transportafstand (km)]]="",0,Tabel264041[[#This Row],[Transportafstand (km)]]),0)</f>
        <v>0</v>
      </c>
      <c r="N36" s="295">
        <f>IFERROR(Tabel264041[[#This Row],[BIM-volume m³]]*Beton!$N$3+Tabel264041[[#This Row],[BIM-volume m³]]*Tabel264041[[#This Row],[Transport Impact]]*IF(Tabel264041[[#This Row],[Transportafstand (km)]]="",0,Tabel264041[[#This Row],[Transportafstand (km)]]),0)</f>
        <v>0</v>
      </c>
      <c r="O36" s="242">
        <f>IFERROR(Tabel264041[[#This Row],[BIM-volume m³]]*Beton!$O$3+Tabel264041[[#This Row],[BIM-volume m³]]*Tabel264041[[#This Row],[Transport Impact]]*IF(Tabel264041[[#This Row],[Transportafstand (km)]]="",0,Tabel264041[[#This Row],[Transportafstand (km)]]),0)</f>
        <v>0</v>
      </c>
      <c r="P36" s="242">
        <f>IFERROR(MAX(0,Tabel264041[[#This Row],[Tot. nieuw CO2 (kg)]]-MIN(IF(Tabel264041[[#This Row],[Tot. hergebruik CO2 (kg)]]=0,999999,Tabel264041[[#This Row],[Tot. hergebruik CO2 (kg)]]),IF(Tabel264041[[#This Row],[Tot. recycling Co2 (kg)]]=0,999999,Tabel264041[[#This Row],[Tot. recycling Co2 (kg)]]))),0)</f>
        <v>0</v>
      </c>
      <c r="Q36" s="292" t="str">
        <f t="shared" si="20"/>
        <v>Geen beoordeling</v>
      </c>
      <c r="R36" s="236">
        <f>IFERROR(Tabel264041[[#This Row],[BIM-volume m³]]*Tabel264041[[#This Row],[PRR]],0)</f>
        <v>0</v>
      </c>
      <c r="S36" s="247">
        <f>IFERROR(VLOOKUP(Tabel264041[[#This Row],[Klasse]],Beton!$A$10:$D$13,4,FALSE),0)</f>
        <v>0</v>
      </c>
      <c r="T36" s="246">
        <f>+Tabel264041[[#This Row],[Praktisch terugwinbaar volume m³]]*Tabel264041[[#This Row],[Verkoopprijs per m³]]</f>
        <v>0</v>
      </c>
      <c r="U36" s="282" t="str">
        <f t="shared" si="21"/>
        <v>Ja</v>
      </c>
      <c r="V36" s="237" t="str">
        <f t="shared" si="22"/>
        <v>Nee</v>
      </c>
      <c r="W36" s="237" t="str">
        <f t="shared" si="23"/>
        <v>Nee</v>
      </c>
      <c r="X36" s="283" t="str">
        <f t="shared" si="24"/>
        <v>Eigen beoordeling</v>
      </c>
    </row>
    <row r="37" spans="1:38" ht="13.5" customHeight="1">
      <c r="A37" s="262"/>
      <c r="B37" s="263"/>
      <c r="C37" s="263"/>
      <c r="D37" s="263"/>
      <c r="E37" s="263"/>
      <c r="F37" s="264"/>
      <c r="G37" s="264"/>
      <c r="H37" s="264"/>
      <c r="I37" s="263"/>
      <c r="J37" s="263"/>
      <c r="K37" s="263"/>
      <c r="L37" s="263"/>
      <c r="M37" s="263"/>
      <c r="N37" s="263"/>
      <c r="O37" s="263"/>
      <c r="P37" s="265"/>
      <c r="Q37" s="263"/>
      <c r="R37" s="263"/>
      <c r="S37" s="266"/>
      <c r="T37" s="251"/>
      <c r="U37" s="251"/>
      <c r="V37" s="251"/>
      <c r="W37" s="251"/>
      <c r="X37" s="251"/>
      <c r="Y37" s="251"/>
      <c r="Z37" s="251"/>
      <c r="AA37" s="251"/>
      <c r="AB37" s="251"/>
      <c r="AC37" s="251"/>
      <c r="AD37" s="251"/>
      <c r="AE37" s="251"/>
      <c r="AF37" s="251"/>
      <c r="AG37" s="251"/>
      <c r="AH37" s="251"/>
      <c r="AI37" s="251"/>
      <c r="AJ37" s="251"/>
      <c r="AK37" s="251"/>
      <c r="AL37" s="251"/>
    </row>
    <row r="38" spans="1:38" ht="43.2">
      <c r="A38" s="253" t="s">
        <v>39</v>
      </c>
      <c r="B38" s="254" t="s">
        <v>430</v>
      </c>
      <c r="C38" s="254" t="s">
        <v>40</v>
      </c>
      <c r="D38" s="316" t="s">
        <v>41</v>
      </c>
      <c r="E38" s="316" t="s">
        <v>42</v>
      </c>
      <c r="F38" s="317" t="s">
        <v>43</v>
      </c>
      <c r="G38" s="317" t="s">
        <v>44</v>
      </c>
      <c r="H38" s="317" t="s">
        <v>45</v>
      </c>
      <c r="I38" s="254" t="s">
        <v>46</v>
      </c>
      <c r="J38" s="254" t="s">
        <v>30</v>
      </c>
      <c r="K38" s="299" t="s">
        <v>366</v>
      </c>
      <c r="L38" s="254" t="s">
        <v>47</v>
      </c>
      <c r="M38" s="255" t="s">
        <v>428</v>
      </c>
      <c r="N38" s="254" t="s">
        <v>432</v>
      </c>
      <c r="O38" s="254" t="s">
        <v>433</v>
      </c>
      <c r="P38" s="254" t="s">
        <v>65</v>
      </c>
      <c r="Q38" s="254" t="s">
        <v>52</v>
      </c>
      <c r="R38" s="254" t="s">
        <v>62</v>
      </c>
      <c r="S38" s="254" t="s">
        <v>54</v>
      </c>
      <c r="T38" s="254" t="s">
        <v>55</v>
      </c>
      <c r="U38" s="318" t="s">
        <v>19</v>
      </c>
      <c r="V38" s="318" t="s">
        <v>429</v>
      </c>
      <c r="W38" s="318" t="s">
        <v>56</v>
      </c>
      <c r="X38" s="319" t="s">
        <v>23</v>
      </c>
      <c r="Y38" s="251"/>
      <c r="Z38" s="251"/>
      <c r="AA38" s="251"/>
      <c r="AB38" s="251"/>
      <c r="AC38" s="251"/>
      <c r="AD38" s="251"/>
      <c r="AE38" s="251"/>
      <c r="AF38" s="251"/>
      <c r="AG38" s="251"/>
      <c r="AH38" s="251"/>
      <c r="AI38" s="251"/>
      <c r="AJ38" s="251"/>
      <c r="AK38" s="251"/>
      <c r="AL38" s="251"/>
    </row>
    <row r="39" spans="1:38">
      <c r="A39" s="287" t="s">
        <v>63</v>
      </c>
      <c r="B39" s="288" t="s">
        <v>58</v>
      </c>
      <c r="C39" s="225">
        <f>'Aluminium-data'!B2</f>
        <v>0.01</v>
      </c>
      <c r="D39" s="225"/>
      <c r="E39" s="226" t="str">
        <f>""</f>
        <v/>
      </c>
      <c r="F39" s="226">
        <f>AVERAGE(F40:F48)</f>
        <v>3.2222222222222223</v>
      </c>
      <c r="G39" s="226">
        <f t="shared" ref="G39:H39" si="25">AVERAGE(G40:G48)</f>
        <v>3.5555555555555554</v>
      </c>
      <c r="H39" s="226">
        <f t="shared" si="25"/>
        <v>3.5555555555555554</v>
      </c>
      <c r="I39" s="238">
        <f>IFERROR(ROUND(AVERAGE(Tabel26404139[[#This Row],[Demonteerbaarheid]],Tabel26404139[[#This Row],[Materiaalconditie ]],Tabel26404139[[#This Row],[Marktpotentie ]])/5,2),0)</f>
        <v>0.69</v>
      </c>
      <c r="J39" s="237" t="str">
        <f>IF(Tabel26404139[[#This Row],[PRR]]="","Handmatig beoordelen",IF(Tabel26404139[[#This Row],[PRR]]&gt;=0.7,"Hergebruik &gt; recycling",IF(Tabel26404139[[#This Row],[PRR]]&gt;=0.25,"Recycling","Handmatig beoordelen")))</f>
        <v>Recycling</v>
      </c>
      <c r="K39"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0,25 en &lt; 0,7</v>
      </c>
      <c r="L39" s="236" t="str">
        <f t="shared" ref="L39:L48" si="26">IF($B39="Totaal","Totaal",IF(OR($B39="Ramen",$B39="Deuren",$B39="Kozijnen",$B39="Vliesgevels",$B39="Gevelsystemen",$B39="Zonwering",$B39="Trappen"),"Bijzonder aluminium",IF($G39="","Handmatig beoordelen",IF($G39&gt;=4,"A-aluminium",IF($G39&gt;=3,"B-aluminium",IF($G39&gt;0,"C-aluminium","Handmatig beoordelen"))))))</f>
        <v>Totaal</v>
      </c>
      <c r="M39" s="236">
        <f t="shared" ref="M39:N39" si="27">SUM(M40:M48)</f>
        <v>0.4</v>
      </c>
      <c r="N39" s="236">
        <f t="shared" si="27"/>
        <v>0.4</v>
      </c>
      <c r="O39" s="236">
        <f>SUM(O40:O48)</f>
        <v>0.4</v>
      </c>
      <c r="P39" s="240">
        <f t="shared" ref="P39:P48" si="28">IF($B46="Totaal",SUM($O$4:$O$12),IFERROR(MAX(0,$M39-MIN($N39,$O39)),0))</f>
        <v>0</v>
      </c>
      <c r="Q39" s="239" t="str">
        <f t="shared" ref="Q39:Q48" si="29">IF(OR($M39="",$M39=0),"Geen beoordeling",IF(AND($N39=0,$O39=0),"Geen beoordeling",IF($N39&lt;$O39,"Hergebruik",IF($O39&lt;$N39,"Recycling","Hergebruik en recycling gelijk"))))</f>
        <v>Hergebruik en recycling gelijk</v>
      </c>
      <c r="R39" s="236">
        <f>IFERROR(Tabel26404139[[#This Row],[BIM-volume m³]]*Tabel26404139[[#This Row],[PRR]],0)</f>
        <v>6.8999999999999999E-3</v>
      </c>
      <c r="S39" s="245">
        <f>IFERROR(VLOOKUP(Tabel26404139[[#This Row],[Klasse]],Aluminium!$A$9:$D$12,4,FALSE),0)</f>
        <v>0</v>
      </c>
      <c r="T39" s="246">
        <f>Tabel26404139[[#This Row],[Praktisch terugwinbaar volume m³]]*Tabel26404139[[#This Row],[Verkoopprijs per m³]]</f>
        <v>0</v>
      </c>
      <c r="U39" s="282" t="str">
        <f t="shared" ref="U39:U48" si="30">IF(OR($L39="Handmatig beoordelen",$L39="",$L39="Totaal",$I39=""),"Handmatig",IF($I39&gt;=70%,"Ja","Nee"))</f>
        <v>Handmatig</v>
      </c>
      <c r="V39" s="237" t="str">
        <f t="shared" ref="V39:V48" si="31">IF(OR($L39="Handmatig beoordelen",$L39="",$L39="Totaal",$Q39=""),"Handmatig",IF(OR($Q39="Hergebruik",$Q39="Recycling",$Q39="Hergebruik en recycling",$Q39="Hergebruik en recycling gelijk"),"Ja","Nee"))</f>
        <v>Handmatig</v>
      </c>
      <c r="W39" s="237" t="str">
        <f t="shared" ref="W39:W48" si="32">IF(OR($L39="Handmatig beoordelen",$L39="",$L39="Totaal"),"Handmatig",IF($T39&gt;0,"Ja","Nee"))</f>
        <v>Handmatig</v>
      </c>
      <c r="X39" s="283" t="str">
        <f t="shared" ref="X39:X48" si="33">IF(OR($U39="Handmatig",$V39="Handmatig",$W39="Handmatig"),"Handmatig beoordelen",IF(COUNTIF($U39:$W39,"Ja")&gt;=2,"Interessant",IF(COUNTIF($U39:$W39,"Ja")=1,"Eigen beoordeling","Niet interessant")))</f>
        <v>Handmatig beoordelen</v>
      </c>
      <c r="Y39" s="251"/>
      <c r="Z39" s="251"/>
      <c r="AA39" s="251"/>
      <c r="AB39" s="251"/>
      <c r="AC39" s="251"/>
      <c r="AD39" s="251"/>
      <c r="AE39" s="251"/>
      <c r="AF39" s="251"/>
      <c r="AG39" s="251"/>
      <c r="AH39" s="251"/>
      <c r="AI39" s="251"/>
      <c r="AJ39" s="251"/>
      <c r="AK39" s="251"/>
      <c r="AL39" s="251"/>
    </row>
    <row r="40" spans="1:38">
      <c r="A40" s="287" t="s">
        <v>63</v>
      </c>
      <c r="B40" s="235" t="s">
        <v>60</v>
      </c>
      <c r="C40" s="225">
        <f>'Aluminium-data'!B3</f>
        <v>0</v>
      </c>
      <c r="D40" s="227">
        <v>2</v>
      </c>
      <c r="E40" s="226">
        <v>20</v>
      </c>
      <c r="F40" s="228">
        <v>1</v>
      </c>
      <c r="G40" s="228">
        <v>2</v>
      </c>
      <c r="H40" s="228">
        <v>4</v>
      </c>
      <c r="I40" s="238">
        <f>IFERROR(ROUND(AVERAGE(Tabel26404139[[#This Row],[Demonteerbaarheid]],Tabel26404139[[#This Row],[Materiaalconditie ]],Tabel26404139[[#This Row],[Marktpotentie ]])/5,2),0)</f>
        <v>0.47</v>
      </c>
      <c r="J40" s="237" t="str">
        <f>IF(Tabel26404139[[#This Row],[PRR]]="","Handmatig beoordelen",IF(Tabel26404139[[#This Row],[PRR]]&gt;=0.7,"Hergebruik &gt; recycling",IF(Tabel26404139[[#This Row],[PRR]]&gt;=0.25,"Recycling","Handmatig beoordelen")))</f>
        <v>Recycling</v>
      </c>
      <c r="K40"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0,25 en &lt; 0,7</v>
      </c>
      <c r="L40" s="236" t="str">
        <f t="shared" si="26"/>
        <v>C-aluminium</v>
      </c>
      <c r="M40" s="236">
        <f>IFERROR(Tabel26404139[[#This Row],[BIM-volume m³]]*Aluminium!$M$3+Tabel26404139[[#This Row],[BIM-volume m³]]*Tabel26404139[[#This Row],[Transport Impact]]*IF(Tabel26404139[[#This Row],[Transportafstand (km)]]="",0,Tabel26404139[[#This Row],[Transportafstand (km)]]),0)</f>
        <v>0</v>
      </c>
      <c r="N40" s="236">
        <f>IFERROR(Tabel26404139[[#This Row],[BIM-volume m³]]*Aluminium!$N$3+Tabel26404139[[#This Row],[BIM-volume m³]]*Tabel26404139[[#This Row],[Transport Impact]]*IF(Tabel26404139[[#This Row],[Transportafstand (km)]]="",0,Tabel26404139[[#This Row],[Transportafstand (km)]]),0)</f>
        <v>0</v>
      </c>
      <c r="O40" s="236">
        <f>IFERROR(Tabel26404139[[#This Row],[BIM-volume m³]]*Aluminium!$O$3+Tabel26404139[[#This Row],[BIM-volume m³]]*Tabel26404139[[#This Row],[Transport Impact]]*IF(Tabel26404139[[#This Row],[Transportafstand (km)]]="",0,Tabel26404139[[#This Row],[Transportafstand (km)]]),0)</f>
        <v>0</v>
      </c>
      <c r="P40" s="240">
        <f t="shared" si="28"/>
        <v>0</v>
      </c>
      <c r="Q40" s="241" t="str">
        <f t="shared" si="29"/>
        <v>Geen beoordeling</v>
      </c>
      <c r="R40" s="236">
        <f>IFERROR(Tabel26404139[[#This Row],[BIM-volume m³]]*Tabel26404139[[#This Row],[PRR]],0)</f>
        <v>0</v>
      </c>
      <c r="S40" s="224">
        <f>IFERROR(VLOOKUP(Tabel26404139[[#This Row],[Klasse]],Aluminium!$A$9:$D$12,4,FALSE),0)</f>
        <v>0</v>
      </c>
      <c r="T40" s="246">
        <f>Tabel26404139[[#This Row],[Praktisch terugwinbaar volume m³]]*Tabel26404139[[#This Row],[Verkoopprijs per m³]]</f>
        <v>0</v>
      </c>
      <c r="U40" s="282" t="str">
        <f t="shared" si="30"/>
        <v>Nee</v>
      </c>
      <c r="V40" s="237" t="str">
        <f t="shared" si="31"/>
        <v>Nee</v>
      </c>
      <c r="W40" s="237" t="str">
        <f t="shared" si="32"/>
        <v>Nee</v>
      </c>
      <c r="X40" s="283" t="str">
        <f t="shared" si="33"/>
        <v>Niet interessant</v>
      </c>
      <c r="Y40" s="251"/>
      <c r="Z40" s="251"/>
      <c r="AA40" s="251"/>
      <c r="AB40" s="251"/>
      <c r="AC40" s="251"/>
      <c r="AD40" s="251"/>
      <c r="AE40" s="251"/>
      <c r="AF40" s="251"/>
      <c r="AG40" s="251"/>
      <c r="AH40" s="251"/>
      <c r="AI40" s="251"/>
      <c r="AJ40" s="251"/>
      <c r="AK40" s="251"/>
      <c r="AL40" s="251"/>
    </row>
    <row r="41" spans="1:38">
      <c r="A41" s="287" t="s">
        <v>63</v>
      </c>
      <c r="B41" s="235" t="s">
        <v>61</v>
      </c>
      <c r="C41" s="225">
        <f>'Aluminium-data'!B4</f>
        <v>0</v>
      </c>
      <c r="D41" s="227">
        <v>2</v>
      </c>
      <c r="E41" s="226">
        <v>20</v>
      </c>
      <c r="F41" s="229">
        <v>1</v>
      </c>
      <c r="G41" s="229">
        <v>4</v>
      </c>
      <c r="H41" s="229">
        <v>3</v>
      </c>
      <c r="I41" s="238">
        <f>IFERROR(ROUND(AVERAGE(Tabel26404139[[#This Row],[Demonteerbaarheid]],Tabel26404139[[#This Row],[Materiaalconditie ]],Tabel26404139[[#This Row],[Marktpotentie ]])/5,2),0)</f>
        <v>0.53</v>
      </c>
      <c r="J41" s="237" t="str">
        <f>IF(Tabel26404139[[#This Row],[PRR]]="","Handmatig beoordelen",IF(Tabel26404139[[#This Row],[PRR]]&gt;=0.7,"Hergebruik &gt; recycling",IF(Tabel26404139[[#This Row],[PRR]]&gt;=0.25,"Recycling","Handmatig beoordelen")))</f>
        <v>Recycling</v>
      </c>
      <c r="K41"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0,25 en &lt; 0,7</v>
      </c>
      <c r="L41" s="236" t="str">
        <f t="shared" si="26"/>
        <v>A-aluminium</v>
      </c>
      <c r="M41" s="236">
        <f>IFERROR(Tabel26404139[[#This Row],[BIM-volume m³]]*Aluminium!$M$3+Tabel26404139[[#This Row],[BIM-volume m³]]*Tabel26404139[[#This Row],[Transport Impact]]*IF(Tabel26404139[[#This Row],[Transportafstand (km)]]="",0,Tabel26404139[[#This Row],[Transportafstand (km)]]),0)</f>
        <v>0</v>
      </c>
      <c r="N41" s="236">
        <f>IFERROR(Tabel26404139[[#This Row],[BIM-volume m³]]*Aluminium!$N$3+Tabel26404139[[#This Row],[BIM-volume m³]]*Tabel26404139[[#This Row],[Transport Impact]]*IF(Tabel26404139[[#This Row],[Transportafstand (km)]]="",0,Tabel26404139[[#This Row],[Transportafstand (km)]]),0)</f>
        <v>0</v>
      </c>
      <c r="O41" s="236">
        <f>IFERROR(Tabel26404139[[#This Row],[BIM-volume m³]]*Aluminium!$O$3+Tabel26404139[[#This Row],[BIM-volume m³]]*Tabel26404139[[#This Row],[Transport Impact]]*IF(Tabel26404139[[#This Row],[Transportafstand (km)]]="",0,Tabel26404139[[#This Row],[Transportafstand (km)]]),0)</f>
        <v>0</v>
      </c>
      <c r="P41" s="240">
        <f t="shared" si="28"/>
        <v>0</v>
      </c>
      <c r="Q41" s="241" t="str">
        <f t="shared" si="29"/>
        <v>Geen beoordeling</v>
      </c>
      <c r="R41" s="236">
        <f>IFERROR(Tabel26404139[[#This Row],[BIM-volume m³]]*Tabel26404139[[#This Row],[PRR]],0)</f>
        <v>0</v>
      </c>
      <c r="S41" s="245">
        <f>IFERROR(VLOOKUP(Tabel26404139[[#This Row],[Klasse]],Aluminium!$A$9:$D$12,4,FALSE),0)</f>
        <v>382.5</v>
      </c>
      <c r="T41" s="246">
        <f>Tabel26404139[[#This Row],[Praktisch terugwinbaar volume m³]]*Tabel26404139[[#This Row],[Verkoopprijs per m³]]</f>
        <v>0</v>
      </c>
      <c r="U41" s="237" t="str">
        <f t="shared" si="30"/>
        <v>Nee</v>
      </c>
      <c r="V41" s="237" t="str">
        <f t="shared" si="31"/>
        <v>Nee</v>
      </c>
      <c r="W41" s="237" t="str">
        <f t="shared" si="32"/>
        <v>Nee</v>
      </c>
      <c r="X41" s="283" t="str">
        <f t="shared" si="33"/>
        <v>Niet interessant</v>
      </c>
      <c r="Y41" s="251"/>
      <c r="Z41" s="251"/>
      <c r="AA41" s="251"/>
      <c r="AB41" s="251"/>
      <c r="AC41" s="251"/>
      <c r="AD41" s="251"/>
      <c r="AE41" s="251"/>
      <c r="AF41" s="251"/>
      <c r="AG41" s="251"/>
      <c r="AH41" s="251"/>
      <c r="AI41" s="251"/>
      <c r="AJ41" s="251"/>
      <c r="AK41" s="251"/>
      <c r="AL41" s="251"/>
    </row>
    <row r="42" spans="1:38">
      <c r="A42" s="287" t="s">
        <v>63</v>
      </c>
      <c r="B42" s="235" t="s">
        <v>64</v>
      </c>
      <c r="C42" s="225">
        <f>'Aluminium-data'!B5</f>
        <v>0</v>
      </c>
      <c r="D42" s="227">
        <v>2</v>
      </c>
      <c r="E42" s="226">
        <v>20</v>
      </c>
      <c r="F42" s="229">
        <v>5</v>
      </c>
      <c r="G42" s="229">
        <v>4</v>
      </c>
      <c r="H42" s="229">
        <v>4</v>
      </c>
      <c r="I42" s="238">
        <f>IFERROR(ROUND(AVERAGE(Tabel26404139[[#This Row],[Demonteerbaarheid]],Tabel26404139[[#This Row],[Materiaalconditie ]],Tabel26404139[[#This Row],[Marktpotentie ]])/5,2),0)</f>
        <v>0.87</v>
      </c>
      <c r="J42" s="237" t="str">
        <f>IF(Tabel26404139[[#This Row],[PRR]]="","Handmatig beoordelen",IF(Tabel26404139[[#This Row],[PRR]]&gt;=0.7,"Hergebruik &gt; recycling",IF(Tabel26404139[[#This Row],[PRR]]&gt;=0.25,"Recycling","Handmatig beoordelen")))</f>
        <v>Hergebruik &gt; recycling</v>
      </c>
      <c r="K42"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0,7</v>
      </c>
      <c r="L42" s="236" t="str">
        <f t="shared" si="26"/>
        <v>A-aluminium</v>
      </c>
      <c r="M42" s="236">
        <f>IFERROR(Tabel26404139[[#This Row],[BIM-volume m³]]*Aluminium!$M$3+Tabel26404139[[#This Row],[BIM-volume m³]]*Tabel26404139[[#This Row],[Transport Impact]]*IF(Tabel26404139[[#This Row],[Transportafstand (km)]]="",0,Tabel26404139[[#This Row],[Transportafstand (km)]]),0)</f>
        <v>0</v>
      </c>
      <c r="N42" s="236">
        <f>IFERROR(Tabel26404139[[#This Row],[BIM-volume m³]]*Aluminium!$N$3+Tabel26404139[[#This Row],[BIM-volume m³]]*Tabel26404139[[#This Row],[Transport Impact]]*IF(Tabel26404139[[#This Row],[Transportafstand (km)]]="",0,Tabel26404139[[#This Row],[Transportafstand (km)]]),0)</f>
        <v>0</v>
      </c>
      <c r="O42" s="236">
        <f>IFERROR(Tabel26404139[[#This Row],[BIM-volume m³]]*Aluminium!$O$3+Tabel26404139[[#This Row],[BIM-volume m³]]*Tabel26404139[[#This Row],[Transport Impact]]*IF(Tabel26404139[[#This Row],[Transportafstand (km)]]="",0,Tabel26404139[[#This Row],[Transportafstand (km)]]),0)</f>
        <v>0</v>
      </c>
      <c r="P42" s="240">
        <f t="shared" si="28"/>
        <v>0</v>
      </c>
      <c r="Q42" s="241" t="str">
        <f t="shared" si="29"/>
        <v>Geen beoordeling</v>
      </c>
      <c r="R42" s="236">
        <f>IFERROR(Tabel26404139[[#This Row],[BIM-volume m³]]*Tabel26404139[[#This Row],[PRR]],0)</f>
        <v>0</v>
      </c>
      <c r="S42" s="245">
        <f>IFERROR(VLOOKUP(Tabel26404139[[#This Row],[Klasse]],Aluminium!$A$9:$D$12,4,FALSE),0)</f>
        <v>382.5</v>
      </c>
      <c r="T42" s="246">
        <f>Tabel26404139[[#This Row],[Praktisch terugwinbaar volume m³]]*Tabel26404139[[#This Row],[Verkoopprijs per m³]]</f>
        <v>0</v>
      </c>
      <c r="U42" s="282" t="str">
        <f t="shared" si="30"/>
        <v>Ja</v>
      </c>
      <c r="V42" s="237" t="str">
        <f t="shared" si="31"/>
        <v>Nee</v>
      </c>
      <c r="W42" s="237" t="str">
        <f t="shared" si="32"/>
        <v>Nee</v>
      </c>
      <c r="X42" s="283" t="str">
        <f t="shared" si="33"/>
        <v>Eigen beoordeling</v>
      </c>
      <c r="Y42" s="251"/>
      <c r="Z42" s="251"/>
      <c r="AA42" s="251"/>
      <c r="AB42" s="251"/>
      <c r="AC42" s="251"/>
      <c r="AD42" s="251"/>
      <c r="AE42" s="251"/>
      <c r="AF42" s="251"/>
      <c r="AG42" s="251"/>
      <c r="AH42" s="251"/>
      <c r="AI42" s="251"/>
      <c r="AJ42" s="251"/>
      <c r="AK42" s="251"/>
      <c r="AL42" s="251"/>
    </row>
    <row r="43" spans="1:38">
      <c r="A43" s="287" t="s">
        <v>63</v>
      </c>
      <c r="B43" s="235" t="s">
        <v>67</v>
      </c>
      <c r="C43" s="225">
        <f>'Aluminium-data'!B6</f>
        <v>0.01</v>
      </c>
      <c r="D43" s="227">
        <v>2</v>
      </c>
      <c r="E43" s="226">
        <v>20</v>
      </c>
      <c r="F43" s="229">
        <v>5</v>
      </c>
      <c r="G43" s="229">
        <v>4</v>
      </c>
      <c r="H43" s="229">
        <v>4</v>
      </c>
      <c r="I43" s="238">
        <f>IFERROR(ROUND(AVERAGE(Tabel26404139[[#This Row],[Demonteerbaarheid]],Tabel26404139[[#This Row],[Materiaalconditie ]],Tabel26404139[[#This Row],[Marktpotentie ]])/5,2),0)</f>
        <v>0.87</v>
      </c>
      <c r="J43" s="237" t="str">
        <f>IF(Tabel26404139[[#This Row],[PRR]]="","Handmatig beoordelen",IF(Tabel26404139[[#This Row],[PRR]]&gt;=0.7,"Hergebruik &gt; recycling",IF(Tabel26404139[[#This Row],[PRR]]&gt;=0.25,"Recycling","Handmatig beoordelen")))</f>
        <v>Hergebruik &gt; recycling</v>
      </c>
      <c r="K43"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0,7</v>
      </c>
      <c r="L43" s="236" t="str">
        <f t="shared" si="26"/>
        <v>Bijzonder aluminium</v>
      </c>
      <c r="M43" s="236">
        <f>IFERROR(Tabel26404139[[#This Row],[BIM-volume m³]]*Aluminium!$M$3+Tabel26404139[[#This Row],[BIM-volume m³]]*Tabel26404139[[#This Row],[Transport Impact]]*IF(Tabel26404139[[#This Row],[Transportafstand (km)]]="",0,Tabel26404139[[#This Row],[Transportafstand (km)]]),0)</f>
        <v>0.4</v>
      </c>
      <c r="N43" s="236">
        <f>IFERROR(Tabel26404139[[#This Row],[BIM-volume m³]]*Aluminium!$N$3+Tabel26404139[[#This Row],[BIM-volume m³]]*Tabel26404139[[#This Row],[Transport Impact]]*IF(Tabel26404139[[#This Row],[Transportafstand (km)]]="",0,Tabel26404139[[#This Row],[Transportafstand (km)]]),0)</f>
        <v>0.4</v>
      </c>
      <c r="O43" s="236">
        <f>IFERROR(Tabel26404139[[#This Row],[BIM-volume m³]]*Aluminium!$O$3+Tabel26404139[[#This Row],[BIM-volume m³]]*Tabel26404139[[#This Row],[Transport Impact]]*IF(Tabel26404139[[#This Row],[Transportafstand (km)]]="",0,Tabel26404139[[#This Row],[Transportafstand (km)]]),0)</f>
        <v>0.4</v>
      </c>
      <c r="P43" s="240">
        <f t="shared" si="28"/>
        <v>0</v>
      </c>
      <c r="Q43" s="241" t="str">
        <f t="shared" si="29"/>
        <v>Hergebruik en recycling gelijk</v>
      </c>
      <c r="R43" s="236">
        <f>IFERROR(Tabel26404139[[#This Row],[BIM-volume m³]]*Tabel26404139[[#This Row],[PRR]],0)</f>
        <v>8.6999999999999994E-3</v>
      </c>
      <c r="S43" s="245">
        <f>IFERROR(VLOOKUP(Tabel26404139[[#This Row],[Klasse]],Aluminium!$A$9:$D$12,4,FALSE),0)</f>
        <v>0</v>
      </c>
      <c r="T43" s="246">
        <f>Tabel26404139[[#This Row],[Praktisch terugwinbaar volume m³]]*Tabel26404139[[#This Row],[Verkoopprijs per m³]]</f>
        <v>0</v>
      </c>
      <c r="U43" s="282" t="str">
        <f t="shared" si="30"/>
        <v>Ja</v>
      </c>
      <c r="V43" s="237" t="str">
        <f t="shared" si="31"/>
        <v>Ja</v>
      </c>
      <c r="W43" s="237" t="str">
        <f t="shared" si="32"/>
        <v>Nee</v>
      </c>
      <c r="X43" s="283" t="str">
        <f t="shared" si="33"/>
        <v>Interessant</v>
      </c>
      <c r="Y43" s="251"/>
      <c r="Z43" s="251"/>
      <c r="AA43" s="251"/>
      <c r="AB43" s="251"/>
      <c r="AC43" s="251"/>
      <c r="AD43" s="251"/>
      <c r="AE43" s="251"/>
      <c r="AF43" s="251"/>
      <c r="AG43" s="251"/>
      <c r="AH43" s="251"/>
      <c r="AI43" s="251"/>
      <c r="AJ43" s="251"/>
      <c r="AK43" s="251"/>
      <c r="AL43" s="251"/>
    </row>
    <row r="44" spans="1:38">
      <c r="A44" s="287" t="s">
        <v>63</v>
      </c>
      <c r="B44" s="235" t="s">
        <v>68</v>
      </c>
      <c r="C44" s="225">
        <f>'Aluminium-data'!B7</f>
        <v>0</v>
      </c>
      <c r="D44" s="227">
        <v>2</v>
      </c>
      <c r="E44" s="226">
        <v>20</v>
      </c>
      <c r="F44" s="229">
        <v>1</v>
      </c>
      <c r="G44" s="229">
        <v>3</v>
      </c>
      <c r="H44" s="229">
        <v>2</v>
      </c>
      <c r="I44" s="238">
        <f>IFERROR(ROUND(AVERAGE(Tabel26404139[[#This Row],[Demonteerbaarheid]],Tabel26404139[[#This Row],[Materiaalconditie ]],Tabel26404139[[#This Row],[Marktpotentie ]])/5,2),0)</f>
        <v>0.4</v>
      </c>
      <c r="J44" s="237" t="str">
        <f>IF(Tabel26404139[[#This Row],[PRR]]="","Handmatig beoordelen",IF(Tabel26404139[[#This Row],[PRR]]&gt;=0.7,"Hergebruik &gt; recycling",IF(Tabel26404139[[#This Row],[PRR]]&gt;=0.25,"Recycling","Handmatig beoordelen")))</f>
        <v>Recycling</v>
      </c>
      <c r="K44"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0,25 en &lt; 0,7</v>
      </c>
      <c r="L44" s="236" t="str">
        <f t="shared" si="26"/>
        <v>B-aluminium</v>
      </c>
      <c r="M44" s="236">
        <f>IFERROR(Tabel26404139[[#This Row],[BIM-volume m³]]*Aluminium!$M$3+Tabel26404139[[#This Row],[BIM-volume m³]]*Tabel26404139[[#This Row],[Transport Impact]]*IF(Tabel26404139[[#This Row],[Transportafstand (km)]]="",0,Tabel26404139[[#This Row],[Transportafstand (km)]]),0)</f>
        <v>0</v>
      </c>
      <c r="N44" s="236">
        <f>IFERROR(Tabel26404139[[#This Row],[BIM-volume m³]]*Aluminium!$N$3+Tabel26404139[[#This Row],[BIM-volume m³]]*Tabel26404139[[#This Row],[Transport Impact]]*IF(Tabel26404139[[#This Row],[Transportafstand (km)]]="",0,Tabel26404139[[#This Row],[Transportafstand (km)]]),0)</f>
        <v>0</v>
      </c>
      <c r="O44" s="236">
        <f>IFERROR(Tabel26404139[[#This Row],[BIM-volume m³]]*Aluminium!$O$3+Tabel26404139[[#This Row],[BIM-volume m³]]*Tabel26404139[[#This Row],[Transport Impact]]*IF(Tabel26404139[[#This Row],[Transportafstand (km)]]="",0,Tabel26404139[[#This Row],[Transportafstand (km)]]),0)</f>
        <v>0</v>
      </c>
      <c r="P44" s="240">
        <f t="shared" si="28"/>
        <v>256.5</v>
      </c>
      <c r="Q44" s="241" t="str">
        <f t="shared" si="29"/>
        <v>Geen beoordeling</v>
      </c>
      <c r="R44" s="236">
        <f>IFERROR(Tabel26404139[[#This Row],[BIM-volume m³]]*Tabel26404139[[#This Row],[PRR]],0)</f>
        <v>0</v>
      </c>
      <c r="S44" s="245">
        <f>IFERROR(VLOOKUP(Tabel26404139[[#This Row],[Klasse]],Aluminium!$A$9:$D$12,4,FALSE),0)</f>
        <v>0</v>
      </c>
      <c r="T44" s="246">
        <f>Tabel26404139[[#This Row],[Praktisch terugwinbaar volume m³]]*Tabel26404139[[#This Row],[Verkoopprijs per m³]]</f>
        <v>0</v>
      </c>
      <c r="U44" s="282" t="str">
        <f t="shared" si="30"/>
        <v>Nee</v>
      </c>
      <c r="V44" s="237" t="str">
        <f t="shared" si="31"/>
        <v>Nee</v>
      </c>
      <c r="W44" s="237" t="str">
        <f t="shared" si="32"/>
        <v>Nee</v>
      </c>
      <c r="X44" s="283" t="str">
        <f t="shared" si="33"/>
        <v>Niet interessant</v>
      </c>
      <c r="Y44" s="251"/>
      <c r="Z44" s="251"/>
      <c r="AA44" s="251"/>
      <c r="AB44" s="251"/>
      <c r="AC44" s="251"/>
      <c r="AD44" s="251"/>
      <c r="AE44" s="251"/>
      <c r="AF44" s="251"/>
      <c r="AG44" s="251"/>
      <c r="AH44" s="251"/>
      <c r="AI44" s="251"/>
      <c r="AJ44" s="251"/>
      <c r="AK44" s="251"/>
      <c r="AL44" s="251"/>
    </row>
    <row r="45" spans="1:38">
      <c r="A45" s="287" t="s">
        <v>63</v>
      </c>
      <c r="B45" s="235" t="s">
        <v>69</v>
      </c>
      <c r="C45" s="225">
        <f>'Aluminium-data'!B8</f>
        <v>0</v>
      </c>
      <c r="D45" s="227">
        <v>2</v>
      </c>
      <c r="E45" s="226">
        <v>20</v>
      </c>
      <c r="F45" s="229">
        <v>5</v>
      </c>
      <c r="G45" s="229">
        <v>4</v>
      </c>
      <c r="H45" s="229">
        <v>2</v>
      </c>
      <c r="I45" s="238">
        <f>IFERROR(ROUND(AVERAGE(Tabel26404139[[#This Row],[Demonteerbaarheid]],Tabel26404139[[#This Row],[Materiaalconditie ]],Tabel26404139[[#This Row],[Marktpotentie ]])/5,2),0)</f>
        <v>0.73</v>
      </c>
      <c r="J45" s="237" t="str">
        <f>IF(Tabel26404139[[#This Row],[PRR]]="","Handmatig beoordelen",IF(Tabel26404139[[#This Row],[PRR]]&gt;=0.7,"Hergebruik &gt; recycling",IF(Tabel26404139[[#This Row],[PRR]]&gt;=0.25,"Recycling","Handmatig beoordelen")))</f>
        <v>Hergebruik &gt; recycling</v>
      </c>
      <c r="K45"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0,7</v>
      </c>
      <c r="L45" s="236" t="str">
        <f t="shared" si="26"/>
        <v>A-aluminium</v>
      </c>
      <c r="M45" s="236">
        <f>IFERROR(Tabel26404139[[#This Row],[BIM-volume m³]]*Aluminium!$M$3+Tabel26404139[[#This Row],[BIM-volume m³]]*Tabel26404139[[#This Row],[Transport Impact]]*IF(Tabel26404139[[#This Row],[Transportafstand (km)]]="",0,Tabel26404139[[#This Row],[Transportafstand (km)]]),0)</f>
        <v>0</v>
      </c>
      <c r="N45" s="236">
        <f>IFERROR(Tabel26404139[[#This Row],[BIM-volume m³]]*Aluminium!$N$3+Tabel26404139[[#This Row],[BIM-volume m³]]*Tabel26404139[[#This Row],[Transport Impact]]*IF(Tabel26404139[[#This Row],[Transportafstand (km)]]="",0,Tabel26404139[[#This Row],[Transportafstand (km)]]),0)</f>
        <v>0</v>
      </c>
      <c r="O45" s="236">
        <f>IFERROR(Tabel26404139[[#This Row],[BIM-volume m³]]*Aluminium!$O$3+Tabel26404139[[#This Row],[BIM-volume m³]]*Tabel26404139[[#This Row],[Transport Impact]]*IF(Tabel26404139[[#This Row],[Transportafstand (km)]]="",0,Tabel26404139[[#This Row],[Transportafstand (km)]]),0)</f>
        <v>0</v>
      </c>
      <c r="P45" s="240">
        <f t="shared" si="28"/>
        <v>0</v>
      </c>
      <c r="Q45" s="241" t="str">
        <f t="shared" si="29"/>
        <v>Geen beoordeling</v>
      </c>
      <c r="R45" s="236">
        <f>IFERROR(Tabel26404139[[#This Row],[BIM-volume m³]]*Tabel26404139[[#This Row],[PRR]],0)</f>
        <v>0</v>
      </c>
      <c r="S45" s="245">
        <f>IFERROR(VLOOKUP(Tabel26404139[[#This Row],[Klasse]],Aluminium!$A$9:$D$12,4,FALSE),0)</f>
        <v>382.5</v>
      </c>
      <c r="T45" s="246">
        <f>Tabel26404139[[#This Row],[Praktisch terugwinbaar volume m³]]*Tabel26404139[[#This Row],[Verkoopprijs per m³]]</f>
        <v>0</v>
      </c>
      <c r="U45" s="282" t="str">
        <f t="shared" si="30"/>
        <v>Ja</v>
      </c>
      <c r="V45" s="237" t="str">
        <f t="shared" si="31"/>
        <v>Nee</v>
      </c>
      <c r="W45" s="237" t="str">
        <f t="shared" si="32"/>
        <v>Nee</v>
      </c>
      <c r="X45" s="283" t="str">
        <f t="shared" si="33"/>
        <v>Eigen beoordeling</v>
      </c>
      <c r="Y45" s="251"/>
      <c r="Z45" s="251"/>
      <c r="AA45" s="251"/>
      <c r="AB45" s="251"/>
      <c r="AC45" s="251"/>
      <c r="AD45" s="251"/>
      <c r="AE45" s="251"/>
      <c r="AF45" s="251"/>
      <c r="AG45" s="251"/>
      <c r="AH45" s="251"/>
      <c r="AI45" s="251"/>
      <c r="AJ45" s="251"/>
      <c r="AK45" s="251"/>
      <c r="AL45" s="251"/>
    </row>
    <row r="46" spans="1:38">
      <c r="A46" s="287" t="s">
        <v>63</v>
      </c>
      <c r="B46" s="235" t="s">
        <v>70</v>
      </c>
      <c r="C46" s="225">
        <f>'Aluminium-data'!B9</f>
        <v>0</v>
      </c>
      <c r="D46" s="227">
        <v>2</v>
      </c>
      <c r="E46" s="226">
        <v>20</v>
      </c>
      <c r="F46" s="229">
        <v>1</v>
      </c>
      <c r="G46" s="229">
        <v>3</v>
      </c>
      <c r="H46" s="229">
        <v>5</v>
      </c>
      <c r="I46" s="238">
        <f>IFERROR(ROUND(AVERAGE(Tabel26404139[[#This Row],[Demonteerbaarheid]],Tabel26404139[[#This Row],[Materiaalconditie ]],Tabel26404139[[#This Row],[Marktpotentie ]])/5,2),0)</f>
        <v>0.6</v>
      </c>
      <c r="J46" s="237" t="str">
        <f>IF(Tabel26404139[[#This Row],[PRR]]="","Handmatig beoordelen",IF(Tabel26404139[[#This Row],[PRR]]&gt;=0.7,"Hergebruik &gt; recycling",IF(Tabel26404139[[#This Row],[PRR]]&gt;=0.25,"Recycling","Handmatig beoordelen")))</f>
        <v>Recycling</v>
      </c>
      <c r="K46"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0,25 en &lt; 0,7</v>
      </c>
      <c r="L46" s="236" t="str">
        <f t="shared" si="26"/>
        <v>B-aluminium</v>
      </c>
      <c r="M46" s="236">
        <f>IFERROR(Tabel26404139[[#This Row],[BIM-volume m³]]*Aluminium!$M$3+Tabel26404139[[#This Row],[BIM-volume m³]]*Tabel26404139[[#This Row],[Transport Impact]]*IF(Tabel26404139[[#This Row],[Transportafstand (km)]]="",0,Tabel26404139[[#This Row],[Transportafstand (km)]]),0)</f>
        <v>0</v>
      </c>
      <c r="N46" s="236">
        <f>IFERROR(Tabel26404139[[#This Row],[BIM-volume m³]]*Aluminium!$N$3+Tabel26404139[[#This Row],[BIM-volume m³]]*Tabel26404139[[#This Row],[Transport Impact]]*IF(Tabel26404139[[#This Row],[Transportafstand (km)]]="",0,Tabel26404139[[#This Row],[Transportafstand (km)]]),0)</f>
        <v>0</v>
      </c>
      <c r="O46" s="236">
        <f>IFERROR(Tabel26404139[[#This Row],[BIM-volume m³]]*Aluminium!$O$3+Tabel26404139[[#This Row],[BIM-volume m³]]*Tabel26404139[[#This Row],[Transport Impact]]*IF(Tabel26404139[[#This Row],[Transportafstand (km)]]="",0,Tabel26404139[[#This Row],[Transportafstand (km)]]),0)</f>
        <v>0</v>
      </c>
      <c r="P46" s="240">
        <f t="shared" si="28"/>
        <v>0</v>
      </c>
      <c r="Q46" s="241" t="str">
        <f t="shared" si="29"/>
        <v>Geen beoordeling</v>
      </c>
      <c r="R46" s="236">
        <f>IFERROR(Tabel26404139[[#This Row],[BIM-volume m³]]*Tabel26404139[[#This Row],[PRR]],0)</f>
        <v>0</v>
      </c>
      <c r="S46" s="245">
        <f>IFERROR(VLOOKUP(Tabel26404139[[#This Row],[Klasse]],Aluminium!$A$9:$D$12,4,FALSE),0)</f>
        <v>0</v>
      </c>
      <c r="T46" s="246">
        <f>Tabel26404139[[#This Row],[Praktisch terugwinbaar volume m³]]*Tabel26404139[[#This Row],[Verkoopprijs per m³]]</f>
        <v>0</v>
      </c>
      <c r="U46" s="282" t="str">
        <f t="shared" si="30"/>
        <v>Nee</v>
      </c>
      <c r="V46" s="237" t="str">
        <f t="shared" si="31"/>
        <v>Nee</v>
      </c>
      <c r="W46" s="237" t="str">
        <f t="shared" si="32"/>
        <v>Nee</v>
      </c>
      <c r="X46" s="283" t="str">
        <f t="shared" si="33"/>
        <v>Niet interessant</v>
      </c>
      <c r="Y46" s="251"/>
      <c r="Z46" s="251"/>
      <c r="AA46" s="251"/>
      <c r="AB46" s="251"/>
      <c r="AC46" s="251"/>
      <c r="AD46" s="251"/>
      <c r="AE46" s="251"/>
      <c r="AF46" s="251"/>
      <c r="AG46" s="251"/>
      <c r="AH46" s="251"/>
      <c r="AI46" s="251"/>
      <c r="AJ46" s="251"/>
      <c r="AK46" s="251"/>
      <c r="AL46" s="251"/>
    </row>
    <row r="47" spans="1:38">
      <c r="A47" s="287" t="s">
        <v>63</v>
      </c>
      <c r="B47" s="235" t="s">
        <v>71</v>
      </c>
      <c r="C47" s="225">
        <f>'Aluminium-data'!B10</f>
        <v>0</v>
      </c>
      <c r="D47" s="227">
        <v>2</v>
      </c>
      <c r="E47" s="226">
        <v>20</v>
      </c>
      <c r="F47" s="229">
        <v>5</v>
      </c>
      <c r="G47" s="229">
        <v>4</v>
      </c>
      <c r="H47" s="229">
        <v>3</v>
      </c>
      <c r="I47" s="238">
        <f>IFERROR(ROUND(AVERAGE(Tabel26404139[[#This Row],[Demonteerbaarheid]],Tabel26404139[[#This Row],[Materiaalconditie ]],Tabel26404139[[#This Row],[Marktpotentie ]])/5,2),0)</f>
        <v>0.8</v>
      </c>
      <c r="J47" s="237" t="str">
        <f>IF(Tabel26404139[[#This Row],[PRR]]="","Handmatig beoordelen",IF(Tabel26404139[[#This Row],[PRR]]&gt;=0.7,"Hergebruik &gt; recycling",IF(Tabel26404139[[#This Row],[PRR]]&gt;=0.25,"Recycling","Handmatig beoordelen")))</f>
        <v>Hergebruik &gt; recycling</v>
      </c>
      <c r="K47"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0,7</v>
      </c>
      <c r="L47" s="236" t="str">
        <f t="shared" si="26"/>
        <v>Bijzonder aluminium</v>
      </c>
      <c r="M47" s="236">
        <f>IFERROR(Tabel26404139[[#This Row],[BIM-volume m³]]*Aluminium!$M$3+Tabel26404139[[#This Row],[BIM-volume m³]]*Tabel26404139[[#This Row],[Transport Impact]]*IF(Tabel26404139[[#This Row],[Transportafstand (km)]]="",0,Tabel26404139[[#This Row],[Transportafstand (km)]]),0)</f>
        <v>0</v>
      </c>
      <c r="N47" s="236">
        <f>IFERROR(Tabel26404139[[#This Row],[BIM-volume m³]]*Aluminium!$N$3+Tabel26404139[[#This Row],[BIM-volume m³]]*Tabel26404139[[#This Row],[Transport Impact]]*IF(Tabel26404139[[#This Row],[Transportafstand (km)]]="",0,Tabel26404139[[#This Row],[Transportafstand (km)]]),0)</f>
        <v>0</v>
      </c>
      <c r="O47" s="236">
        <f>IFERROR(Tabel26404139[[#This Row],[BIM-volume m³]]*Aluminium!$O$3+Tabel26404139[[#This Row],[BIM-volume m³]]*Tabel26404139[[#This Row],[Transport Impact]]*IF(Tabel26404139[[#This Row],[Transportafstand (km)]]="",0,Tabel26404139[[#This Row],[Transportafstand (km)]]),0)</f>
        <v>0</v>
      </c>
      <c r="P47" s="240">
        <f t="shared" si="28"/>
        <v>0</v>
      </c>
      <c r="Q47" s="241" t="str">
        <f t="shared" si="29"/>
        <v>Geen beoordeling</v>
      </c>
      <c r="R47" s="236">
        <f>IFERROR(Tabel26404139[[#This Row],[BIM-volume m³]]*Tabel26404139[[#This Row],[PRR]],0)</f>
        <v>0</v>
      </c>
      <c r="S47" s="245">
        <f>IFERROR(VLOOKUP(Tabel26404139[[#This Row],[Klasse]],Aluminium!$A$9:$D$12,4,FALSE),0)</f>
        <v>0</v>
      </c>
      <c r="T47" s="246">
        <f>Tabel26404139[[#This Row],[Praktisch terugwinbaar volume m³]]*Tabel26404139[[#This Row],[Verkoopprijs per m³]]</f>
        <v>0</v>
      </c>
      <c r="U47" s="282" t="str">
        <f t="shared" si="30"/>
        <v>Ja</v>
      </c>
      <c r="V47" s="237" t="str">
        <f t="shared" si="31"/>
        <v>Nee</v>
      </c>
      <c r="W47" s="237" t="str">
        <f t="shared" si="32"/>
        <v>Nee</v>
      </c>
      <c r="X47" s="283" t="str">
        <f t="shared" si="33"/>
        <v>Eigen beoordeling</v>
      </c>
      <c r="Y47" s="251"/>
      <c r="Z47" s="251"/>
      <c r="AA47" s="251"/>
      <c r="AB47" s="251"/>
      <c r="AC47" s="251"/>
      <c r="AD47" s="251"/>
      <c r="AE47" s="251"/>
      <c r="AF47" s="251"/>
      <c r="AG47" s="251"/>
      <c r="AH47" s="251"/>
      <c r="AI47" s="251"/>
      <c r="AJ47" s="251"/>
      <c r="AK47" s="251"/>
      <c r="AL47" s="251"/>
    </row>
    <row r="48" spans="1:38">
      <c r="A48" s="287" t="s">
        <v>63</v>
      </c>
      <c r="B48" s="290" t="s">
        <v>72</v>
      </c>
      <c r="C48" s="225">
        <f>'Aluminium-data'!B11</f>
        <v>0</v>
      </c>
      <c r="D48" s="227">
        <v>2</v>
      </c>
      <c r="E48" s="226">
        <v>20</v>
      </c>
      <c r="F48" s="231">
        <v>5</v>
      </c>
      <c r="G48" s="231">
        <v>4</v>
      </c>
      <c r="H48" s="231">
        <v>5</v>
      </c>
      <c r="I48" s="291">
        <f>IFERROR(ROUND(AVERAGE(Tabel26404139[[#This Row],[Demonteerbaarheid]],Tabel26404139[[#This Row],[Materiaalconditie ]],Tabel26404139[[#This Row],[Marktpotentie ]])/5,2),0)</f>
        <v>0.93</v>
      </c>
      <c r="J48" s="237" t="str">
        <f>IF(Tabel26404139[[#This Row],[PRR]]="","Handmatig beoordelen",IF(Tabel26404139[[#This Row],[PRR]]&gt;=0.7,"Hergebruik &gt; recycling",IF(Tabel26404139[[#This Row],[PRR]]&gt;=0.25,"Recycling","Handmatig beoordelen")))</f>
        <v>Hergebruik &gt; recycling</v>
      </c>
      <c r="K48" s="237" t="str">
        <f>IF(Tabel26404139[[#This Row],[Routeadvies]]="Hergebruik","Niet standaard toegepast",IF(Tabel26404139[[#This Row],[Routeadvies]]="Hergebruik &gt; recycling","&gt;= 0,7",IF(Tabel26404139[[#This Row],[Routeadvies]]="Recycling","&gt;= 0,25 en &lt; 0,7",IF(Tabel26404139[[#This Row],[Routeadvies]]="Handmatig beoordelen","&lt; 0,25 of geen score",""))))</f>
        <v>&gt;= 0,7</v>
      </c>
      <c r="L48" s="236" t="str">
        <f t="shared" si="26"/>
        <v>Bijzonder aluminium</v>
      </c>
      <c r="M48" s="284">
        <f>IFERROR(Tabel26404139[[#This Row],[BIM-volume m³]]*Aluminium!$M$3+Tabel26404139[[#This Row],[BIM-volume m³]]*Tabel26404139[[#This Row],[Transport Impact]]*IF(Tabel26404139[[#This Row],[Transportafstand (km)]]="",0,Tabel26404139[[#This Row],[Transportafstand (km)]]),0)</f>
        <v>0</v>
      </c>
      <c r="N48" s="284">
        <f>IFERROR(Tabel26404139[[#This Row],[BIM-volume m³]]*Aluminium!$N$3+Tabel26404139[[#This Row],[BIM-volume m³]]*Tabel26404139[[#This Row],[Transport Impact]]*IF(Tabel26404139[[#This Row],[Transportafstand (km)]]="",0,Tabel26404139[[#This Row],[Transportafstand (km)]]),0)</f>
        <v>0</v>
      </c>
      <c r="O48" s="284">
        <f>IFERROR(Tabel26404139[[#This Row],[BIM-volume m³]]*Aluminium!$O$3+Tabel26404139[[#This Row],[BIM-volume m³]]*Tabel26404139[[#This Row],[Transport Impact]]*IF(Tabel26404139[[#This Row],[Transportafstand (km)]]="",0,Tabel26404139[[#This Row],[Transportafstand (km)]]),0)</f>
        <v>0</v>
      </c>
      <c r="P48" s="240">
        <f t="shared" si="28"/>
        <v>0</v>
      </c>
      <c r="Q48" s="292" t="str">
        <f t="shared" si="29"/>
        <v>Geen beoordeling</v>
      </c>
      <c r="R48" s="236">
        <f>IFERROR(Tabel26404139[[#This Row],[BIM-volume m³]]*Tabel26404139[[#This Row],[PRR]],0)</f>
        <v>0</v>
      </c>
      <c r="S48" s="286">
        <f>IFERROR(VLOOKUP(Tabel26404139[[#This Row],[Klasse]],Aluminium!$A$9:$D$12,4,FALSE),0)</f>
        <v>0</v>
      </c>
      <c r="T48" s="246">
        <f>Tabel26404139[[#This Row],[Praktisch terugwinbaar volume m³]]*Tabel26404139[[#This Row],[Verkoopprijs per m³]]</f>
        <v>0</v>
      </c>
      <c r="U48" s="282" t="str">
        <f t="shared" si="30"/>
        <v>Ja</v>
      </c>
      <c r="V48" s="237" t="str">
        <f t="shared" si="31"/>
        <v>Nee</v>
      </c>
      <c r="W48" s="237" t="str">
        <f t="shared" si="32"/>
        <v>Nee</v>
      </c>
      <c r="X48" s="283" t="str">
        <f t="shared" si="33"/>
        <v>Eigen beoordeling</v>
      </c>
      <c r="Y48" s="251"/>
      <c r="Z48" s="251"/>
      <c r="AA48" s="251"/>
      <c r="AB48" s="251"/>
      <c r="AC48" s="251"/>
      <c r="AD48" s="251"/>
      <c r="AE48" s="251"/>
      <c r="AF48" s="251"/>
      <c r="AG48" s="251"/>
    </row>
    <row r="49" spans="1:38">
      <c r="A49" s="267"/>
      <c r="B49" s="268"/>
      <c r="C49" s="269"/>
      <c r="D49" s="269"/>
      <c r="E49" s="270"/>
      <c r="F49" s="271"/>
      <c r="G49" s="271"/>
      <c r="H49" s="271"/>
      <c r="I49" s="272"/>
      <c r="J49" s="273"/>
      <c r="K49" s="270"/>
      <c r="L49" s="270"/>
      <c r="M49" s="270"/>
      <c r="N49" s="274"/>
      <c r="O49" s="274"/>
      <c r="P49" s="275"/>
      <c r="Q49" s="276"/>
      <c r="R49" s="276"/>
      <c r="S49" s="277"/>
      <c r="T49" s="251"/>
      <c r="U49" s="251"/>
      <c r="V49" s="251"/>
      <c r="W49" s="251"/>
      <c r="X49" s="251"/>
      <c r="Y49" s="251"/>
      <c r="Z49" s="251"/>
      <c r="AA49" s="251"/>
      <c r="AB49" s="251"/>
      <c r="AC49" s="251"/>
      <c r="AD49" s="251"/>
      <c r="AE49" s="251"/>
      <c r="AF49" s="251"/>
      <c r="AG49" s="251"/>
      <c r="AH49" s="251"/>
      <c r="AI49" s="251"/>
      <c r="AJ49" s="251"/>
      <c r="AK49" s="251"/>
      <c r="AL49" s="251"/>
    </row>
    <row r="50" spans="1:38" ht="43.2">
      <c r="A50" s="253" t="s">
        <v>39</v>
      </c>
      <c r="B50" s="254" t="s">
        <v>430</v>
      </c>
      <c r="C50" s="254" t="s">
        <v>40</v>
      </c>
      <c r="D50" s="316" t="s">
        <v>41</v>
      </c>
      <c r="E50" s="316" t="s">
        <v>42</v>
      </c>
      <c r="F50" s="317" t="s">
        <v>43</v>
      </c>
      <c r="G50" s="317" t="s">
        <v>44</v>
      </c>
      <c r="H50" s="317" t="s">
        <v>45</v>
      </c>
      <c r="I50" s="254" t="s">
        <v>46</v>
      </c>
      <c r="J50" s="254" t="s">
        <v>30</v>
      </c>
      <c r="K50" s="299" t="s">
        <v>366</v>
      </c>
      <c r="L50" s="254" t="s">
        <v>47</v>
      </c>
      <c r="M50" s="255" t="s">
        <v>428</v>
      </c>
      <c r="N50" s="254" t="s">
        <v>432</v>
      </c>
      <c r="O50" s="254" t="s">
        <v>433</v>
      </c>
      <c r="P50" s="254" t="s">
        <v>65</v>
      </c>
      <c r="Q50" s="254" t="s">
        <v>52</v>
      </c>
      <c r="R50" s="254" t="s">
        <v>62</v>
      </c>
      <c r="S50" s="254" t="s">
        <v>54</v>
      </c>
      <c r="T50" s="254" t="s">
        <v>55</v>
      </c>
      <c r="U50" s="318" t="s">
        <v>19</v>
      </c>
      <c r="V50" s="318" t="s">
        <v>429</v>
      </c>
      <c r="W50" s="318" t="s">
        <v>56</v>
      </c>
      <c r="X50" s="319" t="s">
        <v>23</v>
      </c>
      <c r="Y50" s="251"/>
      <c r="Z50" s="251"/>
      <c r="AA50" s="251"/>
      <c r="AB50" s="251"/>
      <c r="AC50" s="251"/>
      <c r="AD50" s="251"/>
      <c r="AE50" s="251"/>
      <c r="AF50" s="251"/>
      <c r="AG50" s="251"/>
      <c r="AH50" s="251"/>
      <c r="AI50" s="251"/>
      <c r="AJ50" s="251"/>
      <c r="AK50" s="251"/>
      <c r="AL50" s="251"/>
    </row>
    <row r="51" spans="1:38">
      <c r="A51" s="287" t="s">
        <v>74</v>
      </c>
      <c r="B51" s="288" t="s">
        <v>58</v>
      </c>
      <c r="C51" s="320">
        <f>'Koper-data'!B2</f>
        <v>0</v>
      </c>
      <c r="D51" s="225">
        <v>4</v>
      </c>
      <c r="E51" s="226" t="str">
        <f>""</f>
        <v/>
      </c>
      <c r="F51" s="226">
        <f>AVERAGE(F52:F60)</f>
        <v>3.2222222222222223</v>
      </c>
      <c r="G51" s="226">
        <f t="shared" ref="G51:H51" si="34">AVERAGE(G52:G60)</f>
        <v>4</v>
      </c>
      <c r="H51" s="226">
        <f t="shared" si="34"/>
        <v>4.333333333333333</v>
      </c>
      <c r="I51" s="238">
        <f>IFERROR(ROUND(AVERAGE(Tabel26404142[[#This Row],[Demonteerbaarheid]],Tabel26404142[[#This Row],[Materiaalconditie ]],Tabel26404142[[#This Row],[Marktpotentie ]])/5,2),0)</f>
        <v>0.77</v>
      </c>
      <c r="J51" s="237" t="str">
        <f>IF(Tabel26404142[[#This Row],[PRR]]="","Handmatig beoordelen",IF(Tabel26404142[[#This Row],[PRR]]&gt;=0.7,"Hergebruik &gt; recycling",IF(Tabel26404142[[#This Row],[PRR]]&gt;=0.25,"Recycling","Handmatig beoordelen")))</f>
        <v>Hergebruik &gt; recycling</v>
      </c>
      <c r="K51"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51" s="237" t="str">
        <f t="shared" ref="L51:L60" si="35">IF($B51="Totaal","Totaal",IF(OR($B51="Installaties",$B51="Technische ruimte",$B51="Verdeelkast",$B51="Meterkast",$B51="Bliksemafleiding",$B51="Leidingnetten"),"Bijzonder koper",IF($G51="","Handmatig beoordelen",IF($G51&gt;=4,"Rood koper",IF($G51&gt;=3,"Knip koper",IF($G51&gt;0,"Geel koper / Messing","Kabels inclusief isolatie"))))))</f>
        <v>Totaal</v>
      </c>
      <c r="M51" s="249">
        <f>SUM(M52:M60)</f>
        <v>0</v>
      </c>
      <c r="N51" s="249">
        <f t="shared" ref="N51:O51" si="36">SUM(N52:N60)</f>
        <v>0</v>
      </c>
      <c r="O51" s="249">
        <f t="shared" si="36"/>
        <v>0</v>
      </c>
      <c r="P51" s="240">
        <f t="shared" ref="P51:P60" si="37">IF($B58="Totaal",SUM($O$4:$O$12),IFERROR(MAX(0,$M51-MIN($N51,$O51)),0))</f>
        <v>0</v>
      </c>
      <c r="Q51" s="239" t="str">
        <f t="shared" ref="Q51:Q60" si="38">IF(OR($M51="",$M51=0),"Geen beoordeling",IF(AND($N51=0,$O51=0),"Geen beoordeling",IF($N51&lt;$O51,"Hergebruik",IF($O51&lt;$N51,"Recycling","Hergebruik en recycling gelijk"))))</f>
        <v>Geen beoordeling</v>
      </c>
      <c r="R51" s="236">
        <f>IFERROR(Tabel26404142[[#This Row],[BIM-volume m³]]*Tabel26404142[[#This Row],[PRR]],0)</f>
        <v>0</v>
      </c>
      <c r="S51" s="224">
        <f>IFERROR(VLOOKUP(Tabel26404142[[#This Row],[Klasse]],Koper!$A$10:$D$13,4,FALSE),0)</f>
        <v>0</v>
      </c>
      <c r="T51" s="250">
        <f>Tabel26404142[[#This Row],[Praktisch terugwinbaar volume m³]]*Tabel26404142[[#This Row],[Verkoopprijs per m³]]</f>
        <v>0</v>
      </c>
      <c r="U51" s="282" t="str">
        <f t="shared" ref="U51:U60" si="39">IF(OR($L51="Handmatig beoordelen",$L51="",$L51="Totaal",$I51=""),"Handmatig",IF($I51&gt;=70%,"Ja","Nee"))</f>
        <v>Handmatig</v>
      </c>
      <c r="V51" s="237" t="str">
        <f t="shared" ref="V51:V60" si="40">IF(OR($L51="Handmatig beoordelen",$L51="",$L51="Totaal",$Q51=""),"Handmatig",IF(OR($Q51="Hergebruik",$Q51="Recycling",$Q51="Hergebruik en recycling",$Q51="Hergebruik en recycling gelijk"),"Ja","Nee"))</f>
        <v>Handmatig</v>
      </c>
      <c r="W51" s="237" t="str">
        <f t="shared" ref="W51:W60" si="41">IF(OR($L51="Handmatig beoordelen",$L51="",$L51="Totaal"),"Handmatig",IF($T51&gt;0,"Ja","Nee"))</f>
        <v>Handmatig</v>
      </c>
      <c r="X51" s="283" t="str">
        <f t="shared" ref="X51:X60" si="42">IF(OR($U51="Handmatig",$V51="Handmatig",$W51="Handmatig"),"Handmatig beoordelen",IF(COUNTIF($U51:$W51,"Ja")&gt;=2,"Interessant",IF(COUNTIF($U51:$W51,"Ja")=1,"Eigen beoordeling","Niet interessant")))</f>
        <v>Handmatig beoordelen</v>
      </c>
      <c r="Y51" s="251"/>
      <c r="Z51" s="251"/>
      <c r="AA51" s="251"/>
      <c r="AB51" s="251"/>
      <c r="AC51" s="251"/>
      <c r="AD51" s="251"/>
      <c r="AE51" s="251"/>
      <c r="AF51" s="251"/>
      <c r="AG51" s="251"/>
      <c r="AH51" s="251"/>
      <c r="AI51" s="251"/>
      <c r="AJ51" s="251"/>
      <c r="AK51" s="251"/>
      <c r="AL51" s="251"/>
    </row>
    <row r="52" spans="1:38">
      <c r="A52" s="287" t="s">
        <v>74</v>
      </c>
      <c r="B52" s="235" t="s">
        <v>60</v>
      </c>
      <c r="C52" s="320">
        <f>'Koper-data'!B3</f>
        <v>0</v>
      </c>
      <c r="D52" s="227">
        <v>4</v>
      </c>
      <c r="E52" s="226">
        <v>20</v>
      </c>
      <c r="F52" s="228">
        <v>1</v>
      </c>
      <c r="G52" s="228">
        <v>4</v>
      </c>
      <c r="H52" s="228">
        <v>5</v>
      </c>
      <c r="I52" s="238">
        <f>IFERROR(ROUND(AVERAGE(Tabel26404142[[#This Row],[Demonteerbaarheid]],Tabel26404142[[#This Row],[Materiaalconditie ]],Tabel26404142[[#This Row],[Marktpotentie ]])/5,2),0)</f>
        <v>0.67</v>
      </c>
      <c r="J52" s="237" t="str">
        <f>IF(Tabel26404142[[#This Row],[PRR]]="","Handmatig beoordelen",IF(Tabel26404142[[#This Row],[PRR]]&gt;=0.7,"Hergebruik &gt; recycling",IF(Tabel26404142[[#This Row],[PRR]]&gt;=0.25,"Recycling","Handmatig beoordelen")))</f>
        <v>Recycling</v>
      </c>
      <c r="K52"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0,25 en &lt; 0,7</v>
      </c>
      <c r="L52" s="237" t="str">
        <f t="shared" si="35"/>
        <v>Rood koper</v>
      </c>
      <c r="M52" s="249">
        <f>IFERROR(Tabel26404142[[#This Row],[BIM-volume m³]]*Koper!$N$3+Tabel26404142[[#This Row],[BIM-volume m³]]*Tabel26404142[[#This Row],[Transport Impact]]*IF(Tabel26404142[[#This Row],[Transportafstand (km)]]="",0,Tabel26404142[[#This Row],[Transportafstand (km)]])/1000,0)</f>
        <v>0</v>
      </c>
      <c r="N52" s="249">
        <f>IFERROR(Tabel26404142[[#This Row],[BIM-volume m³]]*Koper!$O$3+Tabel26404142[[#This Row],[BIM-volume m³]]*Tabel26404142[[#This Row],[Transport Impact]]*IF(Tabel26404142[[#This Row],[Transportafstand (km)]]="",0,Tabel26404142[[#This Row],[Transportafstand (km)]])/1000,0)</f>
        <v>0</v>
      </c>
      <c r="O52" s="249">
        <f>IFERROR(Tabel26404142[[#This Row],[BIM-volume m³]]*Koper!$P$3+Tabel26404142[[#This Row],[BIM-volume m³]]*Tabel26404142[[#This Row],[Transport Impact]]*IF(Tabel26404142[[#This Row],[Transportafstand (km)]]="",0,Tabel26404142[[#This Row],[Transportafstand (km)]])/1000,0)</f>
        <v>0</v>
      </c>
      <c r="P52" s="240">
        <f t="shared" si="37"/>
        <v>0</v>
      </c>
      <c r="Q52" s="241" t="str">
        <f t="shared" si="38"/>
        <v>Geen beoordeling</v>
      </c>
      <c r="R52" s="236">
        <f>IFERROR(Tabel26404142[[#This Row],[BIM-volume m³]]*Tabel26404142[[#This Row],[PRR]],0)</f>
        <v>0</v>
      </c>
      <c r="S52" s="224">
        <f>IFERROR(VLOOKUP(Tabel26404142[[#This Row],[Klasse]],Koper!$A$10:$D$13,4,FALSE),0)</f>
        <v>2250</v>
      </c>
      <c r="T52" s="250">
        <f>Tabel26404142[[#This Row],[Praktisch terugwinbaar volume m³]]*Tabel26404142[[#This Row],[Verkoopprijs per m³]]</f>
        <v>0</v>
      </c>
      <c r="U52" s="282" t="str">
        <f t="shared" si="39"/>
        <v>Nee</v>
      </c>
      <c r="V52" s="237" t="str">
        <f t="shared" si="40"/>
        <v>Nee</v>
      </c>
      <c r="W52" s="237" t="str">
        <f t="shared" si="41"/>
        <v>Nee</v>
      </c>
      <c r="X52" s="283" t="str">
        <f t="shared" si="42"/>
        <v>Niet interessant</v>
      </c>
      <c r="Y52" s="251"/>
      <c r="Z52" s="251"/>
      <c r="AA52" s="251"/>
      <c r="AB52" s="251"/>
      <c r="AC52" s="251"/>
      <c r="AD52" s="251"/>
      <c r="AE52" s="251"/>
      <c r="AF52" s="251"/>
      <c r="AG52" s="251"/>
      <c r="AH52" s="251"/>
      <c r="AI52" s="251"/>
      <c r="AJ52" s="251"/>
      <c r="AK52" s="251"/>
      <c r="AL52" s="251"/>
    </row>
    <row r="53" spans="1:38">
      <c r="A53" s="287" t="s">
        <v>74</v>
      </c>
      <c r="B53" s="235" t="s">
        <v>61</v>
      </c>
      <c r="C53" s="320">
        <f>'Koper-data'!B4</f>
        <v>0</v>
      </c>
      <c r="D53" s="227">
        <v>4</v>
      </c>
      <c r="E53" s="226">
        <v>20</v>
      </c>
      <c r="F53" s="278">
        <v>1</v>
      </c>
      <c r="G53" s="278">
        <v>5</v>
      </c>
      <c r="H53" s="278">
        <v>4</v>
      </c>
      <c r="I53" s="238">
        <f>IFERROR(ROUND(AVERAGE(Tabel26404142[[#This Row],[Demonteerbaarheid]],Tabel26404142[[#This Row],[Materiaalconditie ]],Tabel26404142[[#This Row],[Marktpotentie ]])/5,2),0)</f>
        <v>0.67</v>
      </c>
      <c r="J53" s="237" t="str">
        <f>IF(Tabel26404142[[#This Row],[PRR]]="","Handmatig beoordelen",IF(Tabel26404142[[#This Row],[PRR]]&gt;=0.7,"Hergebruik &gt; recycling",IF(Tabel26404142[[#This Row],[PRR]]&gt;=0.25,"Recycling","Handmatig beoordelen")))</f>
        <v>Recycling</v>
      </c>
      <c r="K53"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0,25 en &lt; 0,7</v>
      </c>
      <c r="L53" s="237" t="str">
        <f t="shared" si="35"/>
        <v>Rood koper</v>
      </c>
      <c r="M53" s="249">
        <f>IFERROR(Tabel26404142[[#This Row],[BIM-volume m³]]*Koper!$N$3+Tabel26404142[[#This Row],[BIM-volume m³]]*Tabel26404142[[#This Row],[Transport Impact]]*IF(Tabel26404142[[#This Row],[Transportafstand (km)]]="",0,Tabel26404142[[#This Row],[Transportafstand (km)]])/1000,0)</f>
        <v>0</v>
      </c>
      <c r="N53" s="249">
        <f>IFERROR(Tabel26404142[[#This Row],[BIM-volume m³]]*Koper!$O$3+Tabel26404142[[#This Row],[BIM-volume m³]]*Tabel26404142[[#This Row],[Transport Impact]]*IF(Tabel26404142[[#This Row],[Transportafstand (km)]]="",0,Tabel26404142[[#This Row],[Transportafstand (km)]])/1000,0)</f>
        <v>0</v>
      </c>
      <c r="O53" s="249">
        <f>IFERROR(Tabel26404142[[#This Row],[BIM-volume m³]]*Koper!$P$3+Tabel26404142[[#This Row],[BIM-volume m³]]*Tabel26404142[[#This Row],[Transport Impact]]*IF(Tabel26404142[[#This Row],[Transportafstand (km)]]="",0,Tabel26404142[[#This Row],[Transportafstand (km)]])/1000,0)</f>
        <v>0</v>
      </c>
      <c r="P53" s="240">
        <f t="shared" si="37"/>
        <v>0</v>
      </c>
      <c r="Q53" s="241" t="str">
        <f t="shared" si="38"/>
        <v>Geen beoordeling</v>
      </c>
      <c r="R53" s="236">
        <f>IFERROR(Tabel26404142[[#This Row],[BIM-volume m³]]*Tabel26404142[[#This Row],[PRR]],0)</f>
        <v>0</v>
      </c>
      <c r="S53" s="224">
        <f>IFERROR(VLOOKUP(Tabel26404142[[#This Row],[Klasse]],Koper!$A$10:$D$13,4,FALSE),0)</f>
        <v>2250</v>
      </c>
      <c r="T53" s="250">
        <f>Tabel26404142[[#This Row],[Praktisch terugwinbaar volume m³]]*Tabel26404142[[#This Row],[Verkoopprijs per m³]]</f>
        <v>0</v>
      </c>
      <c r="U53" s="282" t="str">
        <f t="shared" si="39"/>
        <v>Nee</v>
      </c>
      <c r="V53" s="237" t="str">
        <f t="shared" si="40"/>
        <v>Nee</v>
      </c>
      <c r="W53" s="237" t="str">
        <f t="shared" si="41"/>
        <v>Nee</v>
      </c>
      <c r="X53" s="283" t="str">
        <f t="shared" si="42"/>
        <v>Niet interessant</v>
      </c>
      <c r="Y53" s="251"/>
      <c r="Z53" s="251"/>
      <c r="AA53" s="251"/>
      <c r="AB53" s="251"/>
      <c r="AC53" s="251"/>
      <c r="AD53" s="251"/>
      <c r="AE53" s="251"/>
      <c r="AF53" s="251"/>
      <c r="AG53" s="251"/>
      <c r="AH53" s="251"/>
      <c r="AI53" s="251"/>
      <c r="AJ53" s="251"/>
      <c r="AK53" s="251"/>
      <c r="AL53" s="251"/>
    </row>
    <row r="54" spans="1:38">
      <c r="A54" s="287" t="s">
        <v>74</v>
      </c>
      <c r="B54" s="235" t="s">
        <v>64</v>
      </c>
      <c r="C54" s="225">
        <f>'Koper-data'!B5</f>
        <v>0</v>
      </c>
      <c r="D54" s="227">
        <v>4</v>
      </c>
      <c r="E54" s="226">
        <v>20</v>
      </c>
      <c r="F54" s="278">
        <v>5</v>
      </c>
      <c r="G54" s="278">
        <v>4</v>
      </c>
      <c r="H54" s="278">
        <v>4</v>
      </c>
      <c r="I54" s="238">
        <f>IFERROR(ROUND(AVERAGE(Tabel26404142[[#This Row],[Demonteerbaarheid]],Tabel26404142[[#This Row],[Materiaalconditie ]],Tabel26404142[[#This Row],[Marktpotentie ]])/5,2),0)</f>
        <v>0.87</v>
      </c>
      <c r="J54" s="237" t="str">
        <f>IF(Tabel26404142[[#This Row],[PRR]]="","Handmatig beoordelen",IF(Tabel26404142[[#This Row],[PRR]]&gt;=0.7,"Hergebruik &gt; recycling",IF(Tabel26404142[[#This Row],[PRR]]&gt;=0.25,"Recycling","Handmatig beoordelen")))</f>
        <v>Hergebruik &gt; recycling</v>
      </c>
      <c r="K54"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54" s="237" t="str">
        <f t="shared" si="35"/>
        <v>Rood koper</v>
      </c>
      <c r="M54" s="249">
        <f>IFERROR(Tabel26404142[[#This Row],[BIM-volume m³]]*Koper!$N$3+Tabel26404142[[#This Row],[BIM-volume m³]]*Tabel26404142[[#This Row],[Transport Impact]]*IF(Tabel26404142[[#This Row],[Transportafstand (km)]]="",0,Tabel26404142[[#This Row],[Transportafstand (km)]])/1000,0)</f>
        <v>0</v>
      </c>
      <c r="N54" s="249">
        <f>IFERROR(Tabel26404142[[#This Row],[BIM-volume m³]]*Koper!$O$3+Tabel26404142[[#This Row],[BIM-volume m³]]*Tabel26404142[[#This Row],[Transport Impact]]*IF(Tabel26404142[[#This Row],[Transportafstand (km)]]="",0,Tabel26404142[[#This Row],[Transportafstand (km)]])/1000,0)</f>
        <v>0</v>
      </c>
      <c r="O54" s="249">
        <f>IFERROR(Tabel26404142[[#This Row],[BIM-volume m³]]*Koper!$P$3+Tabel26404142[[#This Row],[BIM-volume m³]]*Tabel26404142[[#This Row],[Transport Impact]]*IF(Tabel26404142[[#This Row],[Transportafstand (km)]]="",0,Tabel26404142[[#This Row],[Transportafstand (km)]])/1000,0)</f>
        <v>0</v>
      </c>
      <c r="P54" s="240">
        <f t="shared" si="37"/>
        <v>0</v>
      </c>
      <c r="Q54" s="241" t="str">
        <f t="shared" si="38"/>
        <v>Geen beoordeling</v>
      </c>
      <c r="R54" s="236">
        <f>IFERROR(Tabel26404142[[#This Row],[BIM-volume m³]]*Tabel26404142[[#This Row],[PRR]],0)</f>
        <v>0</v>
      </c>
      <c r="S54" s="224">
        <f>IFERROR(VLOOKUP(Tabel26404142[[#This Row],[Klasse]],Koper!$A$10:$D$13,4,FALSE),0)</f>
        <v>2250</v>
      </c>
      <c r="T54" s="250">
        <f>Tabel26404142[[#This Row],[Praktisch terugwinbaar volume m³]]*Tabel26404142[[#This Row],[Verkoopprijs per m³]]</f>
        <v>0</v>
      </c>
      <c r="U54" s="237" t="str">
        <f t="shared" si="39"/>
        <v>Ja</v>
      </c>
      <c r="V54" s="237" t="str">
        <f t="shared" si="40"/>
        <v>Nee</v>
      </c>
      <c r="W54" s="237" t="str">
        <f t="shared" si="41"/>
        <v>Nee</v>
      </c>
      <c r="X54" s="283" t="str">
        <f t="shared" si="42"/>
        <v>Eigen beoordeling</v>
      </c>
      <c r="Y54" s="251"/>
      <c r="Z54" s="251"/>
      <c r="AA54" s="251"/>
      <c r="AB54" s="251"/>
      <c r="AC54" s="251"/>
      <c r="AD54" s="251"/>
      <c r="AE54" s="251"/>
      <c r="AF54" s="251"/>
      <c r="AG54" s="251"/>
      <c r="AH54" s="251"/>
      <c r="AI54" s="251"/>
      <c r="AJ54" s="251"/>
      <c r="AK54" s="251"/>
      <c r="AL54" s="251"/>
    </row>
    <row r="55" spans="1:38">
      <c r="A55" s="287" t="s">
        <v>74</v>
      </c>
      <c r="B55" s="235" t="s">
        <v>67</v>
      </c>
      <c r="C55" s="225">
        <f>'Koper-data'!B6</f>
        <v>0</v>
      </c>
      <c r="D55" s="227">
        <v>4</v>
      </c>
      <c r="E55" s="226">
        <v>20</v>
      </c>
      <c r="F55" s="278">
        <v>5</v>
      </c>
      <c r="G55" s="278">
        <v>4</v>
      </c>
      <c r="H55" s="278">
        <v>5</v>
      </c>
      <c r="I55" s="238">
        <f>IFERROR(ROUND(AVERAGE(Tabel26404142[[#This Row],[Demonteerbaarheid]],Tabel26404142[[#This Row],[Materiaalconditie ]],Tabel26404142[[#This Row],[Marktpotentie ]])/5,2),0)</f>
        <v>0.93</v>
      </c>
      <c r="J55" s="237" t="str">
        <f>IF(Tabel26404142[[#This Row],[PRR]]="","Handmatig beoordelen",IF(Tabel26404142[[#This Row],[PRR]]&gt;=0.7,"Hergebruik &gt; recycling",IF(Tabel26404142[[#This Row],[PRR]]&gt;=0.25,"Recycling","Handmatig beoordelen")))</f>
        <v>Hergebruik &gt; recycling</v>
      </c>
      <c r="K55"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55" s="237" t="str">
        <f t="shared" si="35"/>
        <v>Rood koper</v>
      </c>
      <c r="M55" s="249">
        <f>IFERROR(Tabel26404142[[#This Row],[BIM-volume m³]]*Koper!$N$3+Tabel26404142[[#This Row],[BIM-volume m³]]*Tabel26404142[[#This Row],[Transport Impact]]*IF(Tabel26404142[[#This Row],[Transportafstand (km)]]="",0,Tabel26404142[[#This Row],[Transportafstand (km)]])/1000,0)</f>
        <v>0</v>
      </c>
      <c r="N55" s="249">
        <f>IFERROR(Tabel26404142[[#This Row],[BIM-volume m³]]*Koper!$O$3+Tabel26404142[[#This Row],[BIM-volume m³]]*Tabel26404142[[#This Row],[Transport Impact]]*IF(Tabel26404142[[#This Row],[Transportafstand (km)]]="",0,Tabel26404142[[#This Row],[Transportafstand (km)]])/1000,0)</f>
        <v>0</v>
      </c>
      <c r="O55" s="249">
        <f>IFERROR(Tabel26404142[[#This Row],[BIM-volume m³]]*Koper!$P$3+Tabel26404142[[#This Row],[BIM-volume m³]]*Tabel26404142[[#This Row],[Transport Impact]]*IF(Tabel26404142[[#This Row],[Transportafstand (km)]]="",0,Tabel26404142[[#This Row],[Transportafstand (km)]])/1000,0)</f>
        <v>0</v>
      </c>
      <c r="P55" s="240">
        <f t="shared" si="37"/>
        <v>0</v>
      </c>
      <c r="Q55" s="241" t="str">
        <f t="shared" si="38"/>
        <v>Geen beoordeling</v>
      </c>
      <c r="R55" s="236">
        <f>IFERROR(Tabel26404142[[#This Row],[BIM-volume m³]]*Tabel26404142[[#This Row],[PRR]],0)</f>
        <v>0</v>
      </c>
      <c r="S55" s="224">
        <f>IFERROR(VLOOKUP(Tabel26404142[[#This Row],[Klasse]],Koper!$A$10:$D$13,4,FALSE),0)</f>
        <v>2250</v>
      </c>
      <c r="T55" s="250">
        <f>Tabel26404142[[#This Row],[Praktisch terugwinbaar volume m³]]*Tabel26404142[[#This Row],[Verkoopprijs per m³]]</f>
        <v>0</v>
      </c>
      <c r="U55" s="282" t="str">
        <f t="shared" si="39"/>
        <v>Ja</v>
      </c>
      <c r="V55" s="237" t="str">
        <f t="shared" si="40"/>
        <v>Nee</v>
      </c>
      <c r="W55" s="237" t="str">
        <f t="shared" si="41"/>
        <v>Nee</v>
      </c>
      <c r="X55" s="283" t="str">
        <f t="shared" si="42"/>
        <v>Eigen beoordeling</v>
      </c>
      <c r="Y55" s="251"/>
      <c r="Z55" s="251"/>
      <c r="AA55" s="251"/>
      <c r="AB55" s="251"/>
      <c r="AC55" s="251"/>
      <c r="AD55" s="251"/>
      <c r="AE55" s="251"/>
      <c r="AF55" s="251"/>
      <c r="AG55" s="251"/>
      <c r="AH55" s="251"/>
      <c r="AI55" s="251"/>
      <c r="AJ55" s="251"/>
      <c r="AK55" s="251"/>
      <c r="AL55" s="251"/>
    </row>
    <row r="56" spans="1:38">
      <c r="A56" s="287" t="s">
        <v>74</v>
      </c>
      <c r="B56" s="235" t="s">
        <v>68</v>
      </c>
      <c r="C56" s="225">
        <f>'Koper-data'!B7</f>
        <v>0</v>
      </c>
      <c r="D56" s="227">
        <v>4</v>
      </c>
      <c r="E56" s="226">
        <v>20</v>
      </c>
      <c r="F56" s="278">
        <v>1</v>
      </c>
      <c r="G56" s="278">
        <v>4</v>
      </c>
      <c r="H56" s="278">
        <v>3</v>
      </c>
      <c r="I56" s="238">
        <f>IFERROR(ROUND(AVERAGE(Tabel26404142[[#This Row],[Demonteerbaarheid]],Tabel26404142[[#This Row],[Materiaalconditie ]],Tabel26404142[[#This Row],[Marktpotentie ]])/5,2),0)</f>
        <v>0.53</v>
      </c>
      <c r="J56" s="237" t="str">
        <f>IF(Tabel26404142[[#This Row],[PRR]]="","Handmatig beoordelen",IF(Tabel26404142[[#This Row],[PRR]]&gt;=0.7,"Hergebruik &gt; recycling",IF(Tabel26404142[[#This Row],[PRR]]&gt;=0.25,"Recycling","Handmatig beoordelen")))</f>
        <v>Recycling</v>
      </c>
      <c r="K56"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0,25 en &lt; 0,7</v>
      </c>
      <c r="L56" s="237" t="str">
        <f t="shared" si="35"/>
        <v>Rood koper</v>
      </c>
      <c r="M56" s="249">
        <f>IFERROR(Tabel26404142[[#This Row],[BIM-volume m³]]*Koper!$N$3+Tabel26404142[[#This Row],[BIM-volume m³]]*Tabel26404142[[#This Row],[Transport Impact]]*IF(Tabel26404142[[#This Row],[Transportafstand (km)]]="",0,Tabel26404142[[#This Row],[Transportafstand (km)]])/1000,0)</f>
        <v>0</v>
      </c>
      <c r="N56" s="249">
        <f>IFERROR(Tabel26404142[[#This Row],[BIM-volume m³]]*Koper!$O$3+Tabel26404142[[#This Row],[BIM-volume m³]]*Tabel26404142[[#This Row],[Transport Impact]]*IF(Tabel26404142[[#This Row],[Transportafstand (km)]]="",0,Tabel26404142[[#This Row],[Transportafstand (km)]])/1000,0)</f>
        <v>0</v>
      </c>
      <c r="O56" s="249">
        <f>IFERROR(Tabel26404142[[#This Row],[BIM-volume m³]]*Koper!$P$3+Tabel26404142[[#This Row],[BIM-volume m³]]*Tabel26404142[[#This Row],[Transport Impact]]*IF(Tabel26404142[[#This Row],[Transportafstand (km)]]="",0,Tabel26404142[[#This Row],[Transportafstand (km)]])/1000,0)</f>
        <v>0</v>
      </c>
      <c r="P56" s="240">
        <f t="shared" si="37"/>
        <v>0</v>
      </c>
      <c r="Q56" s="241" t="str">
        <f t="shared" si="38"/>
        <v>Geen beoordeling</v>
      </c>
      <c r="R56" s="236">
        <f>IFERROR(Tabel26404142[[#This Row],[BIM-volume m³]]*Tabel26404142[[#This Row],[PRR]],0)</f>
        <v>0</v>
      </c>
      <c r="S56" s="224">
        <f>IFERROR(VLOOKUP(Tabel26404142[[#This Row],[Klasse]],Koper!$A$10:$D$13,4,FALSE),0)</f>
        <v>2250</v>
      </c>
      <c r="T56" s="250">
        <f>Tabel26404142[[#This Row],[Praktisch terugwinbaar volume m³]]*Tabel26404142[[#This Row],[Verkoopprijs per m³]]</f>
        <v>0</v>
      </c>
      <c r="U56" s="282" t="str">
        <f t="shared" si="39"/>
        <v>Nee</v>
      </c>
      <c r="V56" s="237" t="str">
        <f t="shared" si="40"/>
        <v>Nee</v>
      </c>
      <c r="W56" s="237" t="str">
        <f t="shared" si="41"/>
        <v>Nee</v>
      </c>
      <c r="X56" s="283" t="str">
        <f t="shared" si="42"/>
        <v>Niet interessant</v>
      </c>
      <c r="Y56" s="251"/>
      <c r="Z56" s="251"/>
      <c r="AA56" s="251"/>
      <c r="AB56" s="251"/>
      <c r="AC56" s="251"/>
      <c r="AD56" s="251"/>
      <c r="AE56" s="251"/>
      <c r="AF56" s="251"/>
      <c r="AG56" s="251"/>
      <c r="AH56" s="251"/>
      <c r="AI56" s="251"/>
      <c r="AJ56" s="251"/>
      <c r="AK56" s="251"/>
      <c r="AL56" s="251"/>
    </row>
    <row r="57" spans="1:38">
      <c r="A57" s="287" t="s">
        <v>74</v>
      </c>
      <c r="B57" s="235" t="s">
        <v>69</v>
      </c>
      <c r="C57" s="225">
        <f>'Koper-data'!B8</f>
        <v>0</v>
      </c>
      <c r="D57" s="227">
        <v>4</v>
      </c>
      <c r="E57" s="226">
        <v>20</v>
      </c>
      <c r="F57" s="278">
        <v>5</v>
      </c>
      <c r="G57" s="278">
        <v>4</v>
      </c>
      <c r="H57" s="278">
        <v>4</v>
      </c>
      <c r="I57" s="238">
        <f>IFERROR(ROUND(AVERAGE(Tabel26404142[[#This Row],[Demonteerbaarheid]],Tabel26404142[[#This Row],[Materiaalconditie ]],Tabel26404142[[#This Row],[Marktpotentie ]])/5,2),0)</f>
        <v>0.87</v>
      </c>
      <c r="J57" s="237" t="str">
        <f>IF(Tabel26404142[[#This Row],[PRR]]="","Handmatig beoordelen",IF(Tabel26404142[[#This Row],[PRR]]&gt;=0.7,"Hergebruik &gt; recycling",IF(Tabel26404142[[#This Row],[PRR]]&gt;=0.25,"Recycling","Handmatig beoordelen")))</f>
        <v>Hergebruik &gt; recycling</v>
      </c>
      <c r="K57"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57" s="237" t="str">
        <f t="shared" si="35"/>
        <v>Rood koper</v>
      </c>
      <c r="M57" s="249">
        <f>IFERROR(Tabel26404142[[#This Row],[BIM-volume m³]]*Koper!$N$3+Tabel26404142[[#This Row],[BIM-volume m³]]*Tabel26404142[[#This Row],[Transport Impact]]*IF(Tabel26404142[[#This Row],[Transportafstand (km)]]="",0,Tabel26404142[[#This Row],[Transportafstand (km)]])/1000,0)</f>
        <v>0</v>
      </c>
      <c r="N57" s="249">
        <f>IFERROR(Tabel26404142[[#This Row],[BIM-volume m³]]*Koper!$O$3+Tabel26404142[[#This Row],[BIM-volume m³]]*Tabel26404142[[#This Row],[Transport Impact]]*IF(Tabel26404142[[#This Row],[Transportafstand (km)]]="",0,Tabel26404142[[#This Row],[Transportafstand (km)]])/1000,0)</f>
        <v>0</v>
      </c>
      <c r="O57" s="249">
        <f>IFERROR(Tabel26404142[[#This Row],[BIM-volume m³]]*Koper!$P$3+Tabel26404142[[#This Row],[BIM-volume m³]]*Tabel26404142[[#This Row],[Transport Impact]]*IF(Tabel26404142[[#This Row],[Transportafstand (km)]]="",0,Tabel26404142[[#This Row],[Transportafstand (km)]])/1000,0)</f>
        <v>0</v>
      </c>
      <c r="P57" s="240">
        <f t="shared" si="37"/>
        <v>0</v>
      </c>
      <c r="Q57" s="241" t="str">
        <f t="shared" si="38"/>
        <v>Geen beoordeling</v>
      </c>
      <c r="R57" s="236">
        <f>IFERROR(Tabel26404142[[#This Row],[BIM-volume m³]]*Tabel26404142[[#This Row],[PRR]],0)</f>
        <v>0</v>
      </c>
      <c r="S57" s="224">
        <f>IFERROR(VLOOKUP(Tabel26404142[[#This Row],[Klasse]],Koper!$A$10:$D$13,4,FALSE),0)</f>
        <v>2250</v>
      </c>
      <c r="T57" s="250">
        <f>Tabel26404142[[#This Row],[Praktisch terugwinbaar volume m³]]*Tabel26404142[[#This Row],[Verkoopprijs per m³]]</f>
        <v>0</v>
      </c>
      <c r="U57" s="237" t="str">
        <f t="shared" si="39"/>
        <v>Ja</v>
      </c>
      <c r="V57" s="237" t="str">
        <f t="shared" si="40"/>
        <v>Nee</v>
      </c>
      <c r="W57" s="237" t="str">
        <f t="shared" si="41"/>
        <v>Nee</v>
      </c>
      <c r="X57" s="283" t="str">
        <f t="shared" si="42"/>
        <v>Eigen beoordeling</v>
      </c>
      <c r="Y57" s="251"/>
      <c r="Z57" s="251"/>
      <c r="AA57" s="251"/>
      <c r="AB57" s="251"/>
      <c r="AC57" s="251"/>
      <c r="AD57" s="251"/>
      <c r="AE57" s="251"/>
      <c r="AF57" s="251"/>
      <c r="AG57" s="251"/>
      <c r="AH57" s="251"/>
      <c r="AI57" s="251"/>
      <c r="AJ57" s="251"/>
      <c r="AK57" s="251"/>
      <c r="AL57" s="251"/>
    </row>
    <row r="58" spans="1:38">
      <c r="A58" s="287" t="s">
        <v>74</v>
      </c>
      <c r="B58" s="235" t="s">
        <v>70</v>
      </c>
      <c r="C58" s="225">
        <f>'Koper-data'!B9</f>
        <v>0</v>
      </c>
      <c r="D58" s="227">
        <v>4</v>
      </c>
      <c r="E58" s="226">
        <v>20</v>
      </c>
      <c r="F58" s="278">
        <v>1</v>
      </c>
      <c r="G58" s="278">
        <v>4</v>
      </c>
      <c r="H58" s="278">
        <v>5</v>
      </c>
      <c r="I58" s="238">
        <f>IFERROR(ROUND(AVERAGE(Tabel26404142[[#This Row],[Demonteerbaarheid]],Tabel26404142[[#This Row],[Materiaalconditie ]],Tabel26404142[[#This Row],[Marktpotentie ]])/5,2),0)</f>
        <v>0.67</v>
      </c>
      <c r="J58" s="237" t="str">
        <f>IF(Tabel26404142[[#This Row],[PRR]]="","Handmatig beoordelen",IF(Tabel26404142[[#This Row],[PRR]]&gt;=0.7,"Hergebruik &gt; recycling",IF(Tabel26404142[[#This Row],[PRR]]&gt;=0.25,"Recycling","Handmatig beoordelen")))</f>
        <v>Recycling</v>
      </c>
      <c r="K58"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0,25 en &lt; 0,7</v>
      </c>
      <c r="L58" s="237" t="str">
        <f t="shared" si="35"/>
        <v>Rood koper</v>
      </c>
      <c r="M58" s="249">
        <f>IFERROR(Tabel26404142[[#This Row],[BIM-volume m³]]*Koper!$N$3+Tabel26404142[[#This Row],[BIM-volume m³]]*Tabel26404142[[#This Row],[Transport Impact]]*IF(Tabel26404142[[#This Row],[Transportafstand (km)]]="",0,Tabel26404142[[#This Row],[Transportafstand (km)]])/1000,0)</f>
        <v>0</v>
      </c>
      <c r="N58" s="249">
        <f>IFERROR(Tabel26404142[[#This Row],[BIM-volume m³]]*Koper!$O$3+Tabel26404142[[#This Row],[BIM-volume m³]]*Tabel26404142[[#This Row],[Transport Impact]]*IF(Tabel26404142[[#This Row],[Transportafstand (km)]]="",0,Tabel26404142[[#This Row],[Transportafstand (km)]])/1000,0)</f>
        <v>0</v>
      </c>
      <c r="O58" s="249">
        <f>IFERROR(Tabel26404142[[#This Row],[BIM-volume m³]]*Koper!$P$3+Tabel26404142[[#This Row],[BIM-volume m³]]*Tabel26404142[[#This Row],[Transport Impact]]*IF(Tabel26404142[[#This Row],[Transportafstand (km)]]="",0,Tabel26404142[[#This Row],[Transportafstand (km)]])/1000,0)</f>
        <v>0</v>
      </c>
      <c r="P58" s="240">
        <f t="shared" si="37"/>
        <v>0</v>
      </c>
      <c r="Q58" s="241" t="str">
        <f t="shared" si="38"/>
        <v>Geen beoordeling</v>
      </c>
      <c r="R58" s="236">
        <f>IFERROR(Tabel26404142[[#This Row],[BIM-volume m³]]*Tabel26404142[[#This Row],[PRR]],0)</f>
        <v>0</v>
      </c>
      <c r="S58" s="224">
        <f>IFERROR(VLOOKUP(Tabel26404142[[#This Row],[Klasse]],Koper!$A$10:$D$13,4,FALSE),0)</f>
        <v>2250</v>
      </c>
      <c r="T58" s="250">
        <f>Tabel26404142[[#This Row],[Praktisch terugwinbaar volume m³]]*Tabel26404142[[#This Row],[Verkoopprijs per m³]]</f>
        <v>0</v>
      </c>
      <c r="U58" s="282" t="str">
        <f t="shared" si="39"/>
        <v>Nee</v>
      </c>
      <c r="V58" s="237" t="str">
        <f t="shared" si="40"/>
        <v>Nee</v>
      </c>
      <c r="W58" s="237" t="str">
        <f t="shared" si="41"/>
        <v>Nee</v>
      </c>
      <c r="X58" s="283" t="str">
        <f t="shared" si="42"/>
        <v>Niet interessant</v>
      </c>
      <c r="Y58" s="251"/>
      <c r="Z58" s="251"/>
      <c r="AA58" s="251"/>
      <c r="AB58" s="251"/>
      <c r="AC58" s="251"/>
      <c r="AD58" s="251"/>
      <c r="AE58" s="251"/>
      <c r="AF58" s="251"/>
      <c r="AG58" s="251"/>
      <c r="AH58" s="251"/>
      <c r="AI58" s="251"/>
      <c r="AJ58" s="251"/>
      <c r="AK58" s="251"/>
      <c r="AL58" s="251"/>
    </row>
    <row r="59" spans="1:38">
      <c r="A59" s="287" t="s">
        <v>74</v>
      </c>
      <c r="B59" s="235" t="s">
        <v>71</v>
      </c>
      <c r="C59" s="225">
        <f>'Koper-data'!B10</f>
        <v>0</v>
      </c>
      <c r="D59" s="227">
        <v>4</v>
      </c>
      <c r="E59" s="226">
        <v>20</v>
      </c>
      <c r="F59" s="278">
        <v>5</v>
      </c>
      <c r="G59" s="278">
        <v>3</v>
      </c>
      <c r="H59" s="278">
        <v>4</v>
      </c>
      <c r="I59" s="238">
        <f>IFERROR(ROUND(AVERAGE(Tabel26404142[[#This Row],[Demonteerbaarheid]],Tabel26404142[[#This Row],[Materiaalconditie ]],Tabel26404142[[#This Row],[Marktpotentie ]])/5,2),0)</f>
        <v>0.8</v>
      </c>
      <c r="J59" s="237" t="str">
        <f>IF(Tabel26404142[[#This Row],[PRR]]="","Handmatig beoordelen",IF(Tabel26404142[[#This Row],[PRR]]&gt;=0.7,"Hergebruik &gt; recycling",IF(Tabel26404142[[#This Row],[PRR]]&gt;=0.25,"Recycling","Handmatig beoordelen")))</f>
        <v>Hergebruik &gt; recycling</v>
      </c>
      <c r="K59"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59" s="237" t="str">
        <f t="shared" si="35"/>
        <v>Knip koper</v>
      </c>
      <c r="M59" s="249">
        <f>IFERROR(Tabel26404142[[#This Row],[BIM-volume m³]]*Koper!$N$3+Tabel26404142[[#This Row],[BIM-volume m³]]*Tabel26404142[[#This Row],[Transport Impact]]*IF(Tabel26404142[[#This Row],[Transportafstand (km)]]="",0,Tabel26404142[[#This Row],[Transportafstand (km)]])/1000,0)</f>
        <v>0</v>
      </c>
      <c r="N59" s="249">
        <f>IFERROR(Tabel26404142[[#This Row],[BIM-volume m³]]*Koper!$O$3+Tabel26404142[[#This Row],[BIM-volume m³]]*Tabel26404142[[#This Row],[Transport Impact]]*IF(Tabel26404142[[#This Row],[Transportafstand (km)]]="",0,Tabel26404142[[#This Row],[Transportafstand (km)]])/1000,0)</f>
        <v>0</v>
      </c>
      <c r="O59" s="249">
        <f>IFERROR(Tabel26404142[[#This Row],[BIM-volume m³]]*Koper!$P$3+Tabel26404142[[#This Row],[BIM-volume m³]]*Tabel26404142[[#This Row],[Transport Impact]]*IF(Tabel26404142[[#This Row],[Transportafstand (km)]]="",0,Tabel26404142[[#This Row],[Transportafstand (km)]])/1000,0)</f>
        <v>0</v>
      </c>
      <c r="P59" s="240">
        <f t="shared" si="37"/>
        <v>0</v>
      </c>
      <c r="Q59" s="241" t="str">
        <f t="shared" si="38"/>
        <v>Geen beoordeling</v>
      </c>
      <c r="R59" s="236">
        <f>IFERROR(Tabel26404142[[#This Row],[BIM-volume m³]]*Tabel26404142[[#This Row],[PRR]],0)</f>
        <v>0</v>
      </c>
      <c r="S59" s="224">
        <f>IFERROR(VLOOKUP(Tabel26404142[[#This Row],[Klasse]],Koper!$A$10:$D$13,4,FALSE),0)</f>
        <v>2024</v>
      </c>
      <c r="T59" s="250">
        <f>Tabel26404142[[#This Row],[Praktisch terugwinbaar volume m³]]*Tabel26404142[[#This Row],[Verkoopprijs per m³]]</f>
        <v>0</v>
      </c>
      <c r="U59" s="282" t="str">
        <f t="shared" si="39"/>
        <v>Ja</v>
      </c>
      <c r="V59" s="237" t="str">
        <f t="shared" si="40"/>
        <v>Nee</v>
      </c>
      <c r="W59" s="237" t="str">
        <f t="shared" si="41"/>
        <v>Nee</v>
      </c>
      <c r="X59" s="283" t="str">
        <f t="shared" si="42"/>
        <v>Eigen beoordeling</v>
      </c>
      <c r="Y59" s="251"/>
      <c r="Z59" s="251"/>
      <c r="AA59" s="251"/>
      <c r="AB59" s="251"/>
      <c r="AC59" s="251"/>
      <c r="AD59" s="251"/>
      <c r="AE59" s="251"/>
      <c r="AF59" s="251"/>
      <c r="AG59" s="251"/>
      <c r="AH59" s="251"/>
      <c r="AI59" s="251"/>
      <c r="AJ59" s="251"/>
      <c r="AK59" s="251"/>
      <c r="AL59" s="251"/>
    </row>
    <row r="60" spans="1:38">
      <c r="A60" s="287" t="s">
        <v>74</v>
      </c>
      <c r="B60" s="290" t="s">
        <v>72</v>
      </c>
      <c r="C60" s="225">
        <f>'Koper-data'!B11</f>
        <v>0</v>
      </c>
      <c r="D60" s="227">
        <v>4</v>
      </c>
      <c r="E60" s="226">
        <v>20</v>
      </c>
      <c r="F60" s="279">
        <v>5</v>
      </c>
      <c r="G60" s="279">
        <v>4</v>
      </c>
      <c r="H60" s="279">
        <v>5</v>
      </c>
      <c r="I60" s="291">
        <f>IFERROR(ROUND(AVERAGE(Tabel26404142[[#This Row],[Demonteerbaarheid]],Tabel26404142[[#This Row],[Materiaalconditie ]],Tabel26404142[[#This Row],[Marktpotentie ]])/5,2),0)</f>
        <v>0.93</v>
      </c>
      <c r="J60" s="237" t="str">
        <f>IF(Tabel26404142[[#This Row],[PRR]]="","Handmatig beoordelen",IF(Tabel26404142[[#This Row],[PRR]]&gt;=0.7,"Hergebruik &gt; recycling",IF(Tabel26404142[[#This Row],[PRR]]&gt;=0.25,"Recycling","Handmatig beoordelen")))</f>
        <v>Hergebruik &gt; recycling</v>
      </c>
      <c r="K60" s="237" t="str">
        <f>IF(Tabel26404142[[#This Row],[Routeadvies]]="Hergebruik","Niet standaard toegepast",IF(Tabel26404142[[#This Row],[Routeadvies]]="Hergebruik &gt; recycling","&gt;= 0,7",IF(Tabel26404142[[#This Row],[Routeadvies]]="Recycling","&gt;= 0,25 en &lt; 0,7",IF(Tabel26404142[[#This Row],[Routeadvies]]="Handmatig beoordelen","&lt; 0,25 of geen score",""))))</f>
        <v>&gt;= 0,7</v>
      </c>
      <c r="L60" s="237" t="str">
        <f t="shared" si="35"/>
        <v>Rood koper</v>
      </c>
      <c r="M60" s="249">
        <f>IFERROR(Tabel26404142[[#This Row],[BIM-volume m³]]*Koper!$N$3+Tabel26404142[[#This Row],[BIM-volume m³]]*Tabel26404142[[#This Row],[Transport Impact]]*IF(Tabel26404142[[#This Row],[Transportafstand (km)]]="",0,Tabel26404142[[#This Row],[Transportafstand (km)]])/1000,0)</f>
        <v>0</v>
      </c>
      <c r="N60" s="249">
        <f>IFERROR(Tabel26404142[[#This Row],[BIM-volume m³]]*Koper!$O$3+Tabel26404142[[#This Row],[BIM-volume m³]]*Tabel26404142[[#This Row],[Transport Impact]]*IF(Tabel26404142[[#This Row],[Transportafstand (km)]]="",0,Tabel26404142[[#This Row],[Transportafstand (km)]])/1000,0)</f>
        <v>0</v>
      </c>
      <c r="O60" s="249">
        <f>IFERROR(Tabel26404142[[#This Row],[BIM-volume m³]]*Koper!$P$3+Tabel26404142[[#This Row],[BIM-volume m³]]*Tabel26404142[[#This Row],[Transport Impact]]*IF(Tabel26404142[[#This Row],[Transportafstand (km)]]="",0,Tabel26404142[[#This Row],[Transportafstand (km)]])/1000,0)</f>
        <v>0</v>
      </c>
      <c r="P60" s="240">
        <f t="shared" si="37"/>
        <v>0</v>
      </c>
      <c r="Q60" s="292" t="str">
        <f t="shared" si="38"/>
        <v>Geen beoordeling</v>
      </c>
      <c r="R60" s="236">
        <f>IFERROR(Tabel26404142[[#This Row],[BIM-volume m³]]*Tabel26404142[[#This Row],[PRR]],0)</f>
        <v>0</v>
      </c>
      <c r="S60" s="224">
        <f>IFERROR(VLOOKUP(Tabel26404142[[#This Row],[Klasse]],Koper!$A$10:$D$13,4,FALSE),0)</f>
        <v>2250</v>
      </c>
      <c r="T60" s="250">
        <f>Tabel26404142[[#This Row],[Praktisch terugwinbaar volume m³]]*Tabel26404142[[#This Row],[Verkoopprijs per m³]]</f>
        <v>0</v>
      </c>
      <c r="U60" s="282" t="str">
        <f t="shared" si="39"/>
        <v>Ja</v>
      </c>
      <c r="V60" s="237" t="str">
        <f t="shared" si="40"/>
        <v>Nee</v>
      </c>
      <c r="W60" s="237" t="str">
        <f t="shared" si="41"/>
        <v>Nee</v>
      </c>
      <c r="X60" s="283" t="str">
        <f t="shared" si="42"/>
        <v>Eigen beoordeling</v>
      </c>
      <c r="Y60" s="251"/>
      <c r="Z60" s="251"/>
      <c r="AA60" s="251"/>
      <c r="AB60" s="251"/>
      <c r="AC60" s="251"/>
      <c r="AD60" s="251"/>
      <c r="AE60" s="251"/>
      <c r="AF60" s="251"/>
      <c r="AG60" s="251"/>
    </row>
    <row r="61" spans="1:38">
      <c r="A61" s="251"/>
      <c r="B61" s="251"/>
      <c r="C61" s="251"/>
      <c r="D61" s="251"/>
      <c r="E61" s="251"/>
      <c r="F61" s="251"/>
      <c r="G61" s="251"/>
      <c r="H61" s="251"/>
      <c r="I61" s="251"/>
      <c r="J61" s="251"/>
      <c r="K61" s="251"/>
      <c r="L61" s="251"/>
      <c r="M61" s="251"/>
      <c r="N61" s="251"/>
      <c r="O61" s="251"/>
      <c r="P61" s="251"/>
      <c r="Q61" s="251"/>
      <c r="R61" s="251"/>
      <c r="S61" s="251"/>
      <c r="T61" s="251"/>
      <c r="U61" s="251"/>
      <c r="V61" s="251"/>
      <c r="W61" s="251"/>
      <c r="X61" s="251"/>
      <c r="Y61" s="251"/>
      <c r="Z61" s="251"/>
      <c r="AA61" s="251"/>
      <c r="AB61" s="251"/>
      <c r="AC61" s="251"/>
      <c r="AD61" s="251"/>
      <c r="AE61" s="251"/>
      <c r="AF61" s="251"/>
      <c r="AG61" s="251"/>
    </row>
    <row r="62" spans="1:38" hidden="1">
      <c r="A62" s="251"/>
      <c r="B62" s="251"/>
      <c r="C62" s="251"/>
      <c r="D62" s="251"/>
      <c r="E62" s="251"/>
      <c r="F62" s="251"/>
      <c r="G62" s="251"/>
      <c r="H62" s="251"/>
      <c r="I62" s="251"/>
      <c r="J62" s="251"/>
      <c r="K62" s="251"/>
      <c r="L62" s="251"/>
      <c r="M62" s="251"/>
      <c r="N62" s="251"/>
      <c r="O62" s="251"/>
      <c r="P62" s="251"/>
      <c r="Q62" s="251"/>
      <c r="R62" s="251"/>
      <c r="S62" s="251"/>
      <c r="T62" s="251"/>
      <c r="U62" s="251"/>
      <c r="V62" s="251"/>
      <c r="W62" s="251"/>
      <c r="X62" s="251"/>
      <c r="Y62" s="251"/>
      <c r="Z62" s="251"/>
      <c r="AA62" s="251"/>
      <c r="AB62" s="251"/>
      <c r="AC62" s="251"/>
      <c r="AD62" s="251"/>
      <c r="AE62" s="251"/>
      <c r="AF62" s="251"/>
      <c r="AG62" s="251"/>
    </row>
    <row r="63" spans="1:38" hidden="1">
      <c r="A63" s="251"/>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c r="AA63" s="251"/>
      <c r="AB63" s="251"/>
      <c r="AC63" s="251"/>
      <c r="AD63" s="251"/>
      <c r="AE63" s="251"/>
      <c r="AF63" s="251"/>
      <c r="AG63" s="251"/>
    </row>
    <row r="64" spans="1:38" hidden="1">
      <c r="A64" s="251"/>
      <c r="B64" s="251"/>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1"/>
      <c r="AF64" s="251"/>
      <c r="AG64" s="251"/>
    </row>
    <row r="65" spans="1:33" hidden="1">
      <c r="A65" s="251"/>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c r="AF65" s="251"/>
      <c r="AG65" s="251"/>
    </row>
    <row r="66" spans="1:33" hidden="1">
      <c r="A66" s="251"/>
      <c r="B66" s="251"/>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c r="AA66" s="251"/>
      <c r="AB66" s="251"/>
      <c r="AC66" s="251"/>
      <c r="AD66" s="251"/>
      <c r="AE66" s="251"/>
      <c r="AF66" s="251"/>
      <c r="AG66" s="251"/>
    </row>
    <row r="67" spans="1:33" hidden="1">
      <c r="A67" s="251"/>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1"/>
      <c r="AF67" s="251"/>
      <c r="AG67" s="251"/>
    </row>
    <row r="68" spans="1:33" hidden="1">
      <c r="A68" s="251"/>
      <c r="B68" s="251"/>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c r="AA68" s="251"/>
      <c r="AB68" s="251"/>
      <c r="AC68" s="251"/>
      <c r="AD68" s="251"/>
      <c r="AE68" s="251"/>
      <c r="AF68" s="251"/>
      <c r="AG68" s="251"/>
    </row>
    <row r="69" spans="1:33" hidden="1">
      <c r="A69" s="251"/>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c r="AA69" s="251"/>
      <c r="AB69" s="251"/>
      <c r="AC69" s="251"/>
      <c r="AD69" s="251"/>
      <c r="AE69" s="251"/>
      <c r="AF69" s="251"/>
      <c r="AG69" s="251"/>
    </row>
    <row r="70" spans="1:33" hidden="1">
      <c r="A70" s="251"/>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1"/>
      <c r="AF70" s="251"/>
      <c r="AG70" s="251"/>
    </row>
    <row r="71" spans="1:33" hidden="1">
      <c r="A71" s="251"/>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c r="AA71" s="251"/>
      <c r="AB71" s="251"/>
      <c r="AC71" s="251"/>
      <c r="AD71" s="251"/>
      <c r="AE71" s="251"/>
      <c r="AF71" s="251"/>
      <c r="AG71" s="251"/>
    </row>
    <row r="72" spans="1:33" hidden="1">
      <c r="A72" s="251"/>
      <c r="B72" s="251"/>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c r="AA72" s="251"/>
      <c r="AB72" s="251"/>
      <c r="AC72" s="251"/>
      <c r="AD72" s="251"/>
      <c r="AE72" s="251"/>
      <c r="AF72" s="251"/>
      <c r="AG72" s="251"/>
    </row>
    <row r="73" spans="1:33" hidden="1">
      <c r="A73" s="251"/>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1"/>
      <c r="AF73" s="251"/>
      <c r="AG73" s="251"/>
    </row>
    <row r="74" spans="1:33" hidden="1">
      <c r="A74" s="251"/>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c r="AA74" s="251"/>
      <c r="AB74" s="251"/>
      <c r="AC74" s="251"/>
      <c r="AD74" s="251"/>
      <c r="AE74" s="251"/>
      <c r="AF74" s="251"/>
      <c r="AG74" s="251"/>
    </row>
    <row r="75" spans="1:33" hidden="1">
      <c r="A75" s="251"/>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c r="AA75" s="251"/>
      <c r="AB75" s="251"/>
      <c r="AC75" s="251"/>
      <c r="AD75" s="251"/>
      <c r="AE75" s="251"/>
      <c r="AF75" s="251"/>
      <c r="AG75" s="251"/>
    </row>
    <row r="76" spans="1:33" hidden="1">
      <c r="A76" s="251"/>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c r="AA76" s="251"/>
      <c r="AB76" s="251"/>
      <c r="AC76" s="251"/>
      <c r="AD76" s="251"/>
      <c r="AE76" s="251"/>
      <c r="AF76" s="251"/>
      <c r="AG76" s="251"/>
    </row>
    <row r="77" spans="1:33" hidden="1">
      <c r="A77" s="251"/>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c r="AA77" s="251"/>
      <c r="AB77" s="251"/>
      <c r="AC77" s="251"/>
      <c r="AD77" s="251"/>
      <c r="AE77" s="251"/>
      <c r="AF77" s="251"/>
      <c r="AG77" s="251"/>
    </row>
    <row r="78" spans="1:33" hidden="1">
      <c r="A78" s="251"/>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c r="AA78" s="251"/>
      <c r="AB78" s="251"/>
      <c r="AC78" s="251"/>
      <c r="AD78" s="251"/>
      <c r="AE78" s="251"/>
      <c r="AF78" s="251"/>
      <c r="AG78" s="251"/>
    </row>
    <row r="79" spans="1:33" hidden="1">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c r="AA79" s="251"/>
      <c r="AB79" s="251"/>
      <c r="AC79" s="251"/>
      <c r="AD79" s="251"/>
      <c r="AE79" s="251"/>
      <c r="AF79" s="251"/>
      <c r="AG79" s="251"/>
    </row>
    <row r="80" spans="1:33" hidden="1">
      <c r="A80" s="251"/>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c r="AA80" s="251"/>
      <c r="AB80" s="251"/>
      <c r="AC80" s="251"/>
      <c r="AD80" s="251"/>
      <c r="AE80" s="251"/>
      <c r="AF80" s="251"/>
      <c r="AG80" s="251"/>
    </row>
    <row r="81" spans="1:33" hidden="1">
      <c r="A81" s="251"/>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row>
    <row r="82" spans="1:33" hidden="1">
      <c r="A82" s="251"/>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c r="AA82" s="251"/>
      <c r="AB82" s="251"/>
      <c r="AC82" s="251"/>
      <c r="AD82" s="251"/>
      <c r="AE82" s="251"/>
      <c r="AF82" s="251"/>
      <c r="AG82" s="251"/>
    </row>
    <row r="83" spans="1:33" hidden="1">
      <c r="A83" s="251"/>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c r="AA83" s="251"/>
      <c r="AB83" s="251"/>
      <c r="AC83" s="251"/>
      <c r="AD83" s="251"/>
      <c r="AE83" s="251"/>
      <c r="AF83" s="251"/>
      <c r="AG83" s="251"/>
    </row>
    <row r="84" spans="1:33" hidden="1">
      <c r="A84" s="251"/>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c r="AA84" s="251"/>
      <c r="AB84" s="251"/>
      <c r="AC84" s="251"/>
      <c r="AD84" s="251"/>
      <c r="AE84" s="251"/>
      <c r="AF84" s="251"/>
      <c r="AG84" s="251"/>
    </row>
    <row r="85" spans="1:33" hidden="1">
      <c r="A85" s="251"/>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c r="AA85" s="251"/>
      <c r="AB85" s="251"/>
      <c r="AC85" s="251"/>
      <c r="AD85" s="251"/>
      <c r="AE85" s="251"/>
      <c r="AF85" s="251"/>
      <c r="AG85" s="251"/>
    </row>
    <row r="86" spans="1:33" hidden="1">
      <c r="A86" s="251"/>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c r="AA86" s="251"/>
      <c r="AB86" s="251"/>
      <c r="AC86" s="251"/>
      <c r="AD86" s="251"/>
      <c r="AE86" s="251"/>
      <c r="AF86" s="251"/>
      <c r="AG86" s="251"/>
    </row>
    <row r="87" spans="1:33" hidden="1">
      <c r="A87" s="251"/>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c r="AA87" s="251"/>
      <c r="AB87" s="251"/>
      <c r="AC87" s="251"/>
      <c r="AD87" s="251"/>
      <c r="AE87" s="251"/>
      <c r="AF87" s="251"/>
      <c r="AG87" s="251"/>
    </row>
    <row r="88" spans="1:33" hidden="1">
      <c r="A88" s="251"/>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c r="AA88" s="251"/>
      <c r="AB88" s="251"/>
      <c r="AC88" s="251"/>
      <c r="AD88" s="251"/>
      <c r="AE88" s="251"/>
      <c r="AF88" s="251"/>
      <c r="AG88" s="251"/>
    </row>
    <row r="89" spans="1:33" hidden="1">
      <c r="A89" s="251"/>
      <c r="B89" s="251"/>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c r="AA89" s="251"/>
      <c r="AB89" s="251"/>
      <c r="AC89" s="251"/>
      <c r="AD89" s="251"/>
      <c r="AE89" s="251"/>
      <c r="AF89" s="251"/>
      <c r="AG89" s="251"/>
    </row>
    <row r="90" spans="1:33" hidden="1">
      <c r="A90" s="251"/>
      <c r="B90" s="251"/>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c r="AA90" s="251"/>
      <c r="AB90" s="251"/>
      <c r="AC90" s="251"/>
      <c r="AD90" s="251"/>
      <c r="AE90" s="251"/>
      <c r="AF90" s="251"/>
      <c r="AG90" s="251"/>
    </row>
    <row r="91" spans="1:33" hidden="1">
      <c r="A91" s="251"/>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c r="AA91" s="251"/>
      <c r="AB91" s="251"/>
      <c r="AC91" s="251"/>
      <c r="AD91" s="251"/>
      <c r="AE91" s="251"/>
      <c r="AF91" s="251"/>
      <c r="AG91" s="251"/>
    </row>
    <row r="92" spans="1:33" hidden="1">
      <c r="A92" s="251"/>
      <c r="B92" s="251"/>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c r="AA92" s="251"/>
      <c r="AB92" s="251"/>
      <c r="AC92" s="251"/>
      <c r="AD92" s="251"/>
      <c r="AE92" s="251"/>
      <c r="AF92" s="251"/>
      <c r="AG92" s="251"/>
    </row>
    <row r="93" spans="1:33" hidden="1">
      <c r="A93" s="251"/>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251"/>
      <c r="AF93" s="251"/>
      <c r="AG93" s="251"/>
    </row>
    <row r="94" spans="1:33" hidden="1">
      <c r="A94" s="251"/>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c r="AA94" s="251"/>
      <c r="AB94" s="251"/>
      <c r="AC94" s="251"/>
      <c r="AD94" s="251"/>
      <c r="AE94" s="251"/>
      <c r="AF94" s="251"/>
      <c r="AG94" s="251"/>
    </row>
    <row r="95" spans="1:33" hidden="1">
      <c r="A95" s="251"/>
      <c r="B95" s="251"/>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c r="AA95" s="251"/>
      <c r="AB95" s="251"/>
      <c r="AC95" s="251"/>
      <c r="AD95" s="251"/>
      <c r="AE95" s="251"/>
      <c r="AF95" s="251"/>
      <c r="AG95" s="251"/>
    </row>
    <row r="96" spans="1:33" hidden="1">
      <c r="A96" s="251"/>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1"/>
      <c r="AF96" s="251"/>
      <c r="AG96" s="251"/>
    </row>
    <row r="97" spans="1:33" hidden="1">
      <c r="A97" s="251"/>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c r="AA97" s="251"/>
      <c r="AB97" s="251"/>
      <c r="AC97" s="251"/>
      <c r="AD97" s="251"/>
      <c r="AE97" s="251"/>
      <c r="AF97" s="251"/>
      <c r="AG97" s="251"/>
    </row>
    <row r="98" spans="1:33" hidden="1">
      <c r="A98" s="251"/>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c r="AA98" s="251"/>
      <c r="AB98" s="251"/>
      <c r="AC98" s="251"/>
      <c r="AD98" s="251"/>
      <c r="AE98" s="251"/>
      <c r="AF98" s="251"/>
      <c r="AG98" s="251"/>
    </row>
    <row r="99" spans="1:33" hidden="1">
      <c r="A99" s="251"/>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c r="AA99" s="251"/>
      <c r="AB99" s="251"/>
      <c r="AC99" s="251"/>
      <c r="AD99" s="251"/>
      <c r="AE99" s="251"/>
      <c r="AF99" s="251"/>
      <c r="AG99" s="251"/>
    </row>
    <row r="100" spans="1:33" hidden="1">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c r="AA100" s="251"/>
      <c r="AB100" s="251"/>
      <c r="AC100" s="251"/>
      <c r="AD100" s="251"/>
      <c r="AE100" s="251"/>
      <c r="AF100" s="251"/>
      <c r="AG100" s="251"/>
    </row>
    <row r="101" spans="1:33" hidden="1">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c r="AA101" s="251"/>
      <c r="AB101" s="251"/>
      <c r="AC101" s="251"/>
      <c r="AD101" s="251"/>
      <c r="AE101" s="251"/>
      <c r="AF101" s="251"/>
      <c r="AG101" s="251"/>
    </row>
    <row r="102" spans="1:33" hidden="1">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c r="AA102" s="251"/>
      <c r="AB102" s="251"/>
      <c r="AC102" s="251"/>
      <c r="AD102" s="251"/>
      <c r="AE102" s="251"/>
      <c r="AF102" s="251"/>
      <c r="AG102" s="251"/>
    </row>
    <row r="103" spans="1:33" hidden="1">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c r="AA103" s="251"/>
      <c r="AB103" s="251"/>
      <c r="AC103" s="251"/>
      <c r="AD103" s="251"/>
      <c r="AE103" s="251"/>
      <c r="AF103" s="251"/>
      <c r="AG103" s="251"/>
    </row>
    <row r="104" spans="1:33" hidden="1">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c r="AA104" s="251"/>
      <c r="AB104" s="251"/>
      <c r="AC104" s="251"/>
      <c r="AD104" s="251"/>
      <c r="AE104" s="251"/>
      <c r="AF104" s="251"/>
      <c r="AG104" s="251"/>
    </row>
    <row r="105" spans="1:33" hidden="1">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c r="AA105" s="251"/>
      <c r="AB105" s="251"/>
      <c r="AC105" s="251"/>
      <c r="AD105" s="251"/>
      <c r="AE105" s="251"/>
      <c r="AF105" s="251"/>
      <c r="AG105" s="251"/>
    </row>
    <row r="106" spans="1:33" hidden="1">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c r="AA106" s="251"/>
      <c r="AB106" s="251"/>
      <c r="AC106" s="251"/>
      <c r="AD106" s="251"/>
      <c r="AE106" s="251"/>
      <c r="AF106" s="251"/>
      <c r="AG106" s="251"/>
    </row>
    <row r="107" spans="1:33" hidden="1">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c r="AA107" s="251"/>
      <c r="AB107" s="251"/>
      <c r="AC107" s="251"/>
      <c r="AD107" s="251"/>
      <c r="AE107" s="251"/>
      <c r="AF107" s="251"/>
      <c r="AG107" s="251"/>
    </row>
    <row r="108" spans="1:33" hidden="1">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c r="AA108" s="251"/>
      <c r="AB108" s="251"/>
      <c r="AC108" s="251"/>
      <c r="AD108" s="251"/>
      <c r="AE108" s="251"/>
      <c r="AF108" s="251"/>
      <c r="AG108" s="251"/>
    </row>
    <row r="109" spans="1:33" hidden="1">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row>
    <row r="110" spans="1:33" hidden="1">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c r="AA110" s="251"/>
      <c r="AB110" s="251"/>
      <c r="AC110" s="251"/>
      <c r="AD110" s="251"/>
      <c r="AE110" s="251"/>
      <c r="AF110" s="251"/>
      <c r="AG110" s="251"/>
    </row>
    <row r="111" spans="1:33" hidden="1">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c r="AA111" s="251"/>
      <c r="AB111" s="251"/>
      <c r="AC111" s="251"/>
      <c r="AD111" s="251"/>
      <c r="AE111" s="251"/>
      <c r="AF111" s="251"/>
      <c r="AG111" s="251"/>
    </row>
    <row r="112" spans="1:33" hidden="1">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c r="AA112" s="251"/>
      <c r="AB112" s="251"/>
      <c r="AC112" s="251"/>
      <c r="AD112" s="251"/>
      <c r="AE112" s="251"/>
      <c r="AF112" s="251"/>
      <c r="AG112" s="251"/>
    </row>
    <row r="113" spans="1:33" hidden="1">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c r="AA113" s="251"/>
      <c r="AB113" s="251"/>
      <c r="AC113" s="251"/>
      <c r="AD113" s="251"/>
      <c r="AE113" s="251"/>
      <c r="AF113" s="251"/>
      <c r="AG113" s="251"/>
    </row>
    <row r="114" spans="1:33" hidden="1">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c r="AA114" s="251"/>
      <c r="AB114" s="251"/>
      <c r="AC114" s="251"/>
      <c r="AD114" s="251"/>
      <c r="AE114" s="251"/>
      <c r="AF114" s="251"/>
      <c r="AG114" s="251"/>
    </row>
    <row r="115" spans="1:33" hidden="1">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c r="AA115" s="251"/>
      <c r="AB115" s="251"/>
      <c r="AC115" s="251"/>
      <c r="AD115" s="251"/>
      <c r="AE115" s="251"/>
      <c r="AF115" s="251"/>
      <c r="AG115" s="251"/>
    </row>
    <row r="116" spans="1:33" hidden="1">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row>
    <row r="117" spans="1:33" hidden="1">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c r="AA117" s="251"/>
      <c r="AB117" s="251"/>
      <c r="AC117" s="251"/>
      <c r="AD117" s="251"/>
      <c r="AE117" s="251"/>
      <c r="AF117" s="251"/>
      <c r="AG117" s="251"/>
    </row>
    <row r="118" spans="1:33" hidden="1">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c r="AA118" s="251"/>
      <c r="AB118" s="251"/>
      <c r="AC118" s="251"/>
      <c r="AD118" s="251"/>
      <c r="AE118" s="251"/>
      <c r="AF118" s="251"/>
      <c r="AG118" s="251"/>
    </row>
    <row r="119" spans="1:33" hidden="1">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c r="AA119" s="251"/>
      <c r="AB119" s="251"/>
      <c r="AC119" s="251"/>
      <c r="AD119" s="251"/>
      <c r="AE119" s="251"/>
      <c r="AF119" s="251"/>
      <c r="AG119" s="251"/>
    </row>
    <row r="120" spans="1:33" hidden="1">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c r="AA120" s="251"/>
      <c r="AB120" s="251"/>
      <c r="AC120" s="251"/>
      <c r="AD120" s="251"/>
      <c r="AE120" s="251"/>
      <c r="AF120" s="251"/>
      <c r="AG120" s="251"/>
    </row>
    <row r="121" spans="1:33" hidden="1">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c r="AA121" s="251"/>
      <c r="AB121" s="251"/>
      <c r="AC121" s="251"/>
      <c r="AD121" s="251"/>
      <c r="AE121" s="251"/>
      <c r="AF121" s="251"/>
      <c r="AG121" s="251"/>
    </row>
    <row r="122" spans="1:33" hidden="1">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c r="AA122" s="251"/>
      <c r="AB122" s="251"/>
      <c r="AC122" s="251"/>
      <c r="AD122" s="251"/>
      <c r="AE122" s="251"/>
      <c r="AF122" s="251"/>
      <c r="AG122" s="251"/>
    </row>
    <row r="123" spans="1:33" hidden="1">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c r="AA123" s="251"/>
      <c r="AB123" s="251"/>
      <c r="AC123" s="251"/>
      <c r="AD123" s="251"/>
      <c r="AE123" s="251"/>
      <c r="AF123" s="251"/>
      <c r="AG123" s="251"/>
    </row>
    <row r="124" spans="1:33" hidden="1">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c r="AA124" s="251"/>
      <c r="AB124" s="251"/>
      <c r="AC124" s="251"/>
      <c r="AD124" s="251"/>
      <c r="AE124" s="251"/>
      <c r="AF124" s="251"/>
      <c r="AG124" s="251"/>
    </row>
    <row r="125" spans="1:33" hidden="1">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c r="AA125" s="251"/>
      <c r="AB125" s="251"/>
      <c r="AC125" s="251"/>
      <c r="AD125" s="251"/>
      <c r="AE125" s="251"/>
      <c r="AF125" s="251"/>
      <c r="AG125" s="251"/>
    </row>
    <row r="126" spans="1:33" hidden="1">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c r="AA126" s="251"/>
      <c r="AB126" s="251"/>
      <c r="AC126" s="251"/>
      <c r="AD126" s="251"/>
      <c r="AE126" s="251"/>
      <c r="AF126" s="251"/>
      <c r="AG126" s="251"/>
    </row>
    <row r="127" spans="1:33" hidden="1">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c r="AA127" s="251"/>
      <c r="AB127" s="251"/>
      <c r="AC127" s="251"/>
      <c r="AD127" s="251"/>
      <c r="AE127" s="251"/>
      <c r="AF127" s="251"/>
      <c r="AG127" s="251"/>
    </row>
    <row r="128" spans="1:33" hidden="1">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c r="AA128" s="251"/>
      <c r="AB128" s="251"/>
      <c r="AC128" s="251"/>
      <c r="AD128" s="251"/>
      <c r="AE128" s="251"/>
      <c r="AF128" s="251"/>
      <c r="AG128" s="251"/>
    </row>
    <row r="129" spans="1:33" hidden="1">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row>
    <row r="130" spans="1:33" hidden="1">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c r="AA130" s="251"/>
      <c r="AB130" s="251"/>
      <c r="AC130" s="251"/>
      <c r="AD130" s="251"/>
      <c r="AE130" s="251"/>
      <c r="AF130" s="251"/>
      <c r="AG130" s="251"/>
    </row>
    <row r="131" spans="1:33" hidden="1">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c r="AA131" s="251"/>
      <c r="AB131" s="251"/>
      <c r="AC131" s="251"/>
      <c r="AD131" s="251"/>
      <c r="AE131" s="251"/>
      <c r="AF131" s="251"/>
      <c r="AG131" s="251"/>
    </row>
    <row r="132" spans="1:33" hidden="1">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c r="AA132" s="251"/>
      <c r="AB132" s="251"/>
      <c r="AC132" s="251"/>
      <c r="AD132" s="251"/>
      <c r="AE132" s="251"/>
      <c r="AF132" s="251"/>
      <c r="AG132" s="251"/>
    </row>
    <row r="133" spans="1:33" hidden="1">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c r="AA133" s="251"/>
      <c r="AB133" s="251"/>
      <c r="AC133" s="251"/>
      <c r="AD133" s="251"/>
      <c r="AE133" s="251"/>
      <c r="AF133" s="251"/>
      <c r="AG133" s="251"/>
    </row>
    <row r="134" spans="1:33" hidden="1">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c r="AA134" s="251"/>
      <c r="AB134" s="251"/>
      <c r="AC134" s="251"/>
      <c r="AD134" s="251"/>
      <c r="AE134" s="251"/>
      <c r="AF134" s="251"/>
      <c r="AG134" s="251"/>
    </row>
    <row r="135" spans="1:33" hidden="1">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c r="AA135" s="251"/>
      <c r="AB135" s="251"/>
      <c r="AC135" s="251"/>
      <c r="AD135" s="251"/>
      <c r="AE135" s="251"/>
      <c r="AF135" s="251"/>
      <c r="AG135" s="251"/>
    </row>
    <row r="136" spans="1:33" hidden="1">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row>
    <row r="137" spans="1:33" hidden="1">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c r="AA137" s="251"/>
      <c r="AB137" s="251"/>
      <c r="AC137" s="251"/>
      <c r="AD137" s="251"/>
      <c r="AE137" s="251"/>
      <c r="AF137" s="251"/>
      <c r="AG137" s="251"/>
    </row>
    <row r="138" spans="1:33" hidden="1">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row>
    <row r="139" spans="1:33" hidden="1">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c r="AA139" s="251"/>
      <c r="AB139" s="251"/>
      <c r="AC139" s="251"/>
      <c r="AD139" s="251"/>
      <c r="AE139" s="251"/>
      <c r="AF139" s="251"/>
      <c r="AG139" s="251"/>
    </row>
    <row r="140" spans="1:33" hidden="1">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c r="AA140" s="251"/>
      <c r="AB140" s="251"/>
      <c r="AC140" s="251"/>
      <c r="AD140" s="251"/>
      <c r="AE140" s="251"/>
      <c r="AF140" s="251"/>
      <c r="AG140" s="251"/>
    </row>
    <row r="141" spans="1:33" hidden="1">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c r="AA141" s="251"/>
      <c r="AB141" s="251"/>
      <c r="AC141" s="251"/>
      <c r="AD141" s="251"/>
      <c r="AE141" s="251"/>
      <c r="AF141" s="251"/>
      <c r="AG141" s="251"/>
    </row>
    <row r="142" spans="1:33" hidden="1">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c r="AA142" s="251"/>
      <c r="AB142" s="251"/>
      <c r="AC142" s="251"/>
      <c r="AD142" s="251"/>
      <c r="AE142" s="251"/>
      <c r="AF142" s="251"/>
      <c r="AG142" s="251"/>
    </row>
    <row r="143" spans="1:33" hidden="1">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AA143" s="251"/>
      <c r="AB143" s="251"/>
      <c r="AC143" s="251"/>
      <c r="AD143" s="251"/>
      <c r="AE143" s="251"/>
      <c r="AF143" s="251"/>
      <c r="AG143" s="251"/>
    </row>
    <row r="144" spans="1:33" hidden="1">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AA144" s="251"/>
      <c r="AB144" s="251"/>
      <c r="AC144" s="251"/>
      <c r="AD144" s="251"/>
      <c r="AE144" s="251"/>
      <c r="AF144" s="251"/>
      <c r="AG144" s="251"/>
    </row>
    <row r="145" spans="1:24" hidden="1">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row>
  </sheetData>
  <sheetProtection sheet="1" selectLockedCells="1"/>
  <mergeCells count="2">
    <mergeCell ref="Z2:AF2"/>
    <mergeCell ref="A1:S1"/>
  </mergeCells>
  <phoneticPr fontId="6" type="noConversion"/>
  <dataValidations count="1">
    <dataValidation type="list" sqref="F41:H49 F17:H24 F53:H60 F29:H36 F5:H12" xr:uid="{38E4C034-7A8E-44CA-95F7-8C5B590EE032}">
      <formula1>"1,2,3,4,5"</formula1>
    </dataValidation>
  </dataValidations>
  <pageMargins left="0.7" right="0.7" top="0.75" bottom="0.75" header="0.3" footer="0.3"/>
  <ignoredErrors>
    <ignoredError sqref="P15:P24 N15:N16 N18:N24 N17" calculatedColumn="1"/>
  </ignoredErrors>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C09F-9C96-4358-B759-6BF93E2F5895}">
  <sheetPr>
    <tabColor theme="6" tint="0.79998168889431442"/>
  </sheetPr>
  <dimension ref="A1:Z22"/>
  <sheetViews>
    <sheetView zoomScale="68" zoomScaleNormal="90" workbookViewId="0">
      <selection activeCell="E15" sqref="E15"/>
    </sheetView>
  </sheetViews>
  <sheetFormatPr defaultColWidth="0" defaultRowHeight="14.4" zeroHeight="1"/>
  <cols>
    <col min="1" max="2" width="17.109375" customWidth="1"/>
    <col min="3" max="3" width="29.77734375" customWidth="1"/>
    <col min="4" max="4" width="18.109375" customWidth="1"/>
    <col min="5" max="5" width="19.44140625" customWidth="1"/>
    <col min="6" max="6" width="20.44140625" customWidth="1"/>
    <col min="7" max="7" width="20" customWidth="1"/>
    <col min="8" max="8" width="19.77734375" customWidth="1"/>
    <col min="9" max="9" width="16.109375" customWidth="1"/>
    <col min="10" max="11" width="15.44140625" customWidth="1"/>
    <col min="12" max="12" width="22.109375" customWidth="1"/>
    <col min="13" max="13" width="14.77734375" customWidth="1"/>
    <col min="14" max="14" width="18.44140625" customWidth="1"/>
    <col min="15" max="15" width="14.109375" customWidth="1"/>
    <col min="16" max="16" width="17.5546875" customWidth="1"/>
    <col min="17" max="17" width="15.44140625" customWidth="1"/>
    <col min="18" max="18" width="16.109375" customWidth="1"/>
    <col min="19" max="19" width="11.44140625" customWidth="1"/>
    <col min="20" max="20" width="12.44140625" customWidth="1"/>
    <col min="21" max="21" width="17.5546875" customWidth="1"/>
    <col min="22" max="23" width="17.77734375" customWidth="1"/>
    <col min="24" max="24" width="35.44140625" customWidth="1"/>
    <col min="25" max="25" width="31.77734375" bestFit="1" customWidth="1"/>
    <col min="26" max="26" width="4" style="193" customWidth="1"/>
    <col min="27" max="16384" width="8.77734375" hidden="1"/>
  </cols>
  <sheetData>
    <row r="1" spans="1:26" ht="18" thickBot="1">
      <c r="A1" s="360" t="s">
        <v>75</v>
      </c>
      <c r="B1" s="360"/>
      <c r="C1" s="360"/>
      <c r="D1" s="360"/>
      <c r="E1" s="357" t="s">
        <v>76</v>
      </c>
      <c r="F1" s="357"/>
      <c r="G1" s="357"/>
      <c r="H1" s="357"/>
      <c r="I1" s="357"/>
      <c r="J1" s="357"/>
      <c r="K1" s="357"/>
      <c r="L1" s="357"/>
      <c r="M1" s="355" t="s">
        <v>77</v>
      </c>
      <c r="N1" s="355"/>
      <c r="O1" s="355"/>
      <c r="P1" s="355"/>
      <c r="Q1" s="355"/>
      <c r="R1" s="355"/>
      <c r="S1" s="355"/>
      <c r="T1" s="355"/>
      <c r="U1" s="355"/>
      <c r="V1" s="355"/>
      <c r="W1" s="357" t="s">
        <v>78</v>
      </c>
      <c r="X1" s="357"/>
      <c r="Y1" s="357"/>
      <c r="Z1" s="330"/>
    </row>
    <row r="2" spans="1:26" s="105" customFormat="1" ht="52.8" customHeight="1" thickBot="1">
      <c r="A2" s="5" t="s">
        <v>79</v>
      </c>
      <c r="B2" s="5" t="s">
        <v>80</v>
      </c>
      <c r="C2" s="5" t="s">
        <v>81</v>
      </c>
      <c r="D2" s="306" t="s">
        <v>82</v>
      </c>
      <c r="E2" s="306" t="s">
        <v>43</v>
      </c>
      <c r="F2" s="306" t="s">
        <v>44</v>
      </c>
      <c r="G2" s="306" t="s">
        <v>45</v>
      </c>
      <c r="H2" s="5" t="s">
        <v>83</v>
      </c>
      <c r="I2" s="5" t="s">
        <v>84</v>
      </c>
      <c r="J2" s="5" t="s">
        <v>85</v>
      </c>
      <c r="K2" s="5" t="s">
        <v>30</v>
      </c>
      <c r="L2" s="101" t="s">
        <v>86</v>
      </c>
      <c r="M2" s="5" t="s">
        <v>87</v>
      </c>
      <c r="N2" s="5" t="s">
        <v>88</v>
      </c>
      <c r="O2" s="5" t="s">
        <v>89</v>
      </c>
      <c r="P2" s="306" t="s">
        <v>374</v>
      </c>
      <c r="Q2" s="306" t="s">
        <v>90</v>
      </c>
      <c r="R2" s="5" t="s">
        <v>48</v>
      </c>
      <c r="S2" s="5" t="s">
        <v>49</v>
      </c>
      <c r="T2" s="5" t="s">
        <v>50</v>
      </c>
      <c r="U2" s="5" t="s">
        <v>91</v>
      </c>
      <c r="V2" s="104" t="s">
        <v>92</v>
      </c>
      <c r="W2" s="40" t="s">
        <v>375</v>
      </c>
      <c r="X2" t="s">
        <v>93</v>
      </c>
      <c r="Y2" t="s">
        <v>55</v>
      </c>
      <c r="Z2" s="193"/>
    </row>
    <row r="3" spans="1:26">
      <c r="A3" s="5"/>
      <c r="B3" s="106" t="s">
        <v>57</v>
      </c>
      <c r="C3" s="131"/>
      <c r="D3" s="109">
        <f>SUM(D4:D8)</f>
        <v>50.17</v>
      </c>
      <c r="E3" s="106">
        <f>AVERAGE(E4:E8)</f>
        <v>4.4000000000000004</v>
      </c>
      <c r="F3" s="106">
        <f t="shared" ref="F3:G3" si="0">AVERAGE(F4:F8)</f>
        <v>3.2</v>
      </c>
      <c r="G3" s="106">
        <f t="shared" si="0"/>
        <v>3</v>
      </c>
      <c r="H3" s="62">
        <f>IF(COUNTA(E4:G4)=0,"",AVERAGE(E4:G4))</f>
        <v>4.333333333333333</v>
      </c>
      <c r="I3" s="110">
        <f>IFERROR(ROUND(Tabel113[[#This Row],[Gem. score]]/5,2),0)</f>
        <v>0.87</v>
      </c>
      <c r="J3" s="106"/>
      <c r="K3" s="137" t="str">
        <f t="shared" ref="K3:K8" si="1">IF(J3="A-hout","Hergebruik",IF(J3="C-hout","Recycling",IF(H3&gt;=4,"Hergebruik","Recycling")))</f>
        <v>Hergebruik</v>
      </c>
      <c r="L3" s="35" t="str">
        <f t="shared" ref="L3:L8" si="2">IF(I3&gt;=75%,"Hoogwaardig","Laagwaardig")</f>
        <v>Hoogwaardig</v>
      </c>
      <c r="M3" s="89">
        <v>240</v>
      </c>
      <c r="N3" s="7">
        <v>45</v>
      </c>
      <c r="O3" s="7">
        <v>150</v>
      </c>
      <c r="P3" s="8">
        <v>2</v>
      </c>
      <c r="Q3" s="16">
        <v>20</v>
      </c>
      <c r="R3" s="149">
        <f>Tabel113[[#This Row],[Volume (m3)]]*Tabel113[[#This Row],[CO2-nieuw (kg)]]+Tabel113[[#This Row],[Volume (m3)]]*Tabel113[[#This Row],[Transport-impact ]]*Tabel113[[#This Row],[Transport afstand (km)]]</f>
        <v>14047.600000000002</v>
      </c>
      <c r="S3" s="149">
        <f>Tabel113[[#This Row],[Volume (m3)]]*Tabel113[[#This Row],[CO2-Hergebruik (kg)]]+Tabel113[[#This Row],[Volume (m3)]]*Tabel113[[#This Row],[Transport-impact ]]*Tabel113[[#This Row],[Transport afstand (km)]]</f>
        <v>4264.4500000000007</v>
      </c>
      <c r="T3" s="149">
        <f>Tabel113[[#This Row],[Volume (m3)]]*Tabel113[[#This Row],[CO2- recycle (kg)]]+Tabel113[[#This Row],[Volume (m3)]]*Tabel113[[#This Row],[Transport-impact ]]*Tabel113[[#This Row],[Transport afstand (km)]]</f>
        <v>9532.2999999999993</v>
      </c>
      <c r="U3" s="49">
        <f t="shared" ref="U3:U8" si="3">IF(V3="hergebruik",R3-S3,IF(V3="recycling",T3-S3,""))</f>
        <v>9783.1500000000015</v>
      </c>
      <c r="V3" s="208" t="str">
        <f t="shared" ref="V3:V8" si="4">IF(S3=MIN(R3:T3),"Hergebruik",IF(T3=MIN(R3:T3),"Recycling","Nieuw"))</f>
        <v>Hergebruik</v>
      </c>
      <c r="W3" s="84">
        <f>Tabel113[[#This Row],[Volume (m3)]]*Tabel113[[#This Row],[Geschatte recovery rate (%)]]</f>
        <v>43.6479</v>
      </c>
      <c r="X3" s="43">
        <f>IF($J3="Totaal","",IFERROR(VLOOKUP($J3,Hout!$A$11:$D$14,4,FALSE),0))</f>
        <v>0</v>
      </c>
      <c r="Y3" s="329">
        <f>Tabel113[[#This Row],[Verkoopbaar volume (m3)]]*Tabel113[[#This Row],[Verkoopprijs aan retailer per m³]]</f>
        <v>0</v>
      </c>
    </row>
    <row r="4" spans="1:26">
      <c r="A4" s="7">
        <v>1</v>
      </c>
      <c r="B4" s="7" t="s">
        <v>94</v>
      </c>
      <c r="C4" s="207" t="s">
        <v>95</v>
      </c>
      <c r="D4" s="11">
        <v>20</v>
      </c>
      <c r="E4" s="12">
        <v>5</v>
      </c>
      <c r="F4" s="4">
        <v>4</v>
      </c>
      <c r="G4" s="12">
        <v>4</v>
      </c>
      <c r="H4" s="8">
        <f>IF(COUNTA(E4:G4)=0,"",AVERAGE(E4:G4))</f>
        <v>4.333333333333333</v>
      </c>
      <c r="I4" s="107">
        <f>IFERROR(ROUND(Tabel113[[#This Row],[Gem. score]]/5,2),0)</f>
        <v>0.87</v>
      </c>
      <c r="J4" s="12" t="str">
        <f>IF(F4="","",IF(F4&gt;=4,"A-Hout",IF(F4&gt;=2.75,"B-Hout","C-Hout")))</f>
        <v>A-Hout</v>
      </c>
      <c r="K4" s="151" t="str">
        <f t="shared" si="1"/>
        <v>Hergebruik</v>
      </c>
      <c r="L4" s="35" t="str">
        <f t="shared" si="2"/>
        <v>Hoogwaardig</v>
      </c>
      <c r="M4" s="89">
        <v>240</v>
      </c>
      <c r="N4" s="7">
        <v>45</v>
      </c>
      <c r="O4" s="7">
        <v>150</v>
      </c>
      <c r="P4" s="8">
        <v>2</v>
      </c>
      <c r="Q4" s="148">
        <v>20</v>
      </c>
      <c r="R4" s="149">
        <f>Tabel113[[#This Row],[Volume (m3)]]*Tabel113[[#This Row],[CO2-nieuw (kg)]]+Tabel113[[#This Row],[Volume (m3)]]*Tabel113[[#This Row],[Transport-impact ]]*Tabel113[[#This Row],[Transport afstand (km)]]</f>
        <v>5600</v>
      </c>
      <c r="S4" s="149">
        <f>Tabel113[[#This Row],[Volume (m3)]]*Tabel113[[#This Row],[CO2-Hergebruik (kg)]]+Tabel113[[#This Row],[Volume (m3)]]*Tabel113[[#This Row],[Transport-impact ]]*Tabel113[[#This Row],[Transport afstand (km)]]</f>
        <v>1700</v>
      </c>
      <c r="T4" s="149">
        <f>Tabel113[[#This Row],[Volume (m3)]]*Tabel113[[#This Row],[CO2- recycle (kg)]]+Tabel113[[#This Row],[Volume (m3)]]*Tabel113[[#This Row],[Transport-impact ]]*Tabel113[[#This Row],[Transport afstand (km)]]</f>
        <v>3800</v>
      </c>
      <c r="U4" s="49">
        <f t="shared" si="3"/>
        <v>3900</v>
      </c>
      <c r="V4" s="208" t="str">
        <f t="shared" si="4"/>
        <v>Hergebruik</v>
      </c>
      <c r="W4" s="84">
        <f>Tabel113[[#This Row],[Volume (m3)]]*Tabel113[[#This Row],[Geschatte recovery rate (%)]]</f>
        <v>17.399999999999999</v>
      </c>
      <c r="X4" s="44">
        <f>IF($J4="Totaal","",IFERROR(VLOOKUP($J4,Hout!$A$11:$D$14,4,FALSE),0))</f>
        <v>243.75</v>
      </c>
      <c r="Y4" s="329">
        <f>Tabel113[[#This Row],[Verkoopbaar volume (m3)]]*Tabel113[[#This Row],[Verkoopprijs aan retailer per m³]]</f>
        <v>4241.25</v>
      </c>
    </row>
    <row r="5" spans="1:26">
      <c r="A5" s="7">
        <v>2</v>
      </c>
      <c r="B5" s="7" t="s">
        <v>96</v>
      </c>
      <c r="C5" s="207" t="s">
        <v>97</v>
      </c>
      <c r="D5" s="11">
        <v>10</v>
      </c>
      <c r="E5" s="14">
        <v>5</v>
      </c>
      <c r="F5" s="14">
        <v>4</v>
      </c>
      <c r="G5" s="14">
        <v>3</v>
      </c>
      <c r="H5" s="8">
        <f>IF(COUNTA(E5:G5)=0,"",AVERAGE(E5:G5))</f>
        <v>4</v>
      </c>
      <c r="I5" s="107">
        <f>IFERROR(ROUND(Tabel113[[#This Row],[Gem. score]]/5,2),0)</f>
        <v>0.8</v>
      </c>
      <c r="J5" s="12" t="str">
        <f>IF(F5="","",IF(F5&gt;=4,"A-Hout",IF(F5&gt;=2.75,"B-Hout","C-Hout")))</f>
        <v>A-Hout</v>
      </c>
      <c r="K5" s="151" t="str">
        <f>IF(J5="A-hout","Hergebruik",IF(J5="C-hout","Recycling",IF(H5&gt;=4,"Hergebruik","Recycling")))</f>
        <v>Hergebruik</v>
      </c>
      <c r="L5" s="35" t="str">
        <f t="shared" si="2"/>
        <v>Hoogwaardig</v>
      </c>
      <c r="M5" s="89">
        <v>240</v>
      </c>
      <c r="N5" s="7">
        <v>45</v>
      </c>
      <c r="O5" s="7">
        <v>150</v>
      </c>
      <c r="P5" s="8">
        <v>2</v>
      </c>
      <c r="Q5" s="148">
        <v>20</v>
      </c>
      <c r="R5" s="149">
        <f>Tabel113[[#This Row],[Volume (m3)]]*Tabel113[[#This Row],[CO2-nieuw (kg)]]+Tabel113[[#This Row],[Volume (m3)]]*Tabel113[[#This Row],[Transport-impact ]]*Tabel113[[#This Row],[Transport afstand (km)]]</f>
        <v>2800</v>
      </c>
      <c r="S5" s="149">
        <f>Tabel113[[#This Row],[Volume (m3)]]*Tabel113[[#This Row],[CO2-Hergebruik (kg)]]+Tabel113[[#This Row],[Volume (m3)]]*Tabel113[[#This Row],[Transport-impact ]]*Tabel113[[#This Row],[Transport afstand (km)]]</f>
        <v>850</v>
      </c>
      <c r="T5" s="149">
        <f>Tabel113[[#This Row],[Volume (m3)]]*Tabel113[[#This Row],[CO2- recycle (kg)]]+Tabel113[[#This Row],[Volume (m3)]]*Tabel113[[#This Row],[Transport-impact ]]*Tabel113[[#This Row],[Transport afstand (km)]]</f>
        <v>1900</v>
      </c>
      <c r="U5" s="49">
        <f t="shared" si="3"/>
        <v>1950</v>
      </c>
      <c r="V5" s="208" t="str">
        <f t="shared" si="4"/>
        <v>Hergebruik</v>
      </c>
      <c r="W5" s="84">
        <f>Tabel113[[#This Row],[Volume (m3)]]*Tabel113[[#This Row],[Geschatte recovery rate (%)]]</f>
        <v>8</v>
      </c>
      <c r="X5" s="44">
        <f>IF($J5="Totaal","",IFERROR(VLOOKUP($J5,Hout!$A$11:$D$14,4,FALSE),0))</f>
        <v>243.75</v>
      </c>
      <c r="Y5" s="329">
        <f>Tabel113[[#This Row],[Verkoopbaar volume (m3)]]*Tabel113[[#This Row],[Verkoopprijs aan retailer per m³]]</f>
        <v>1950</v>
      </c>
    </row>
    <row r="6" spans="1:26">
      <c r="A6" s="7">
        <v>3</v>
      </c>
      <c r="B6" s="7" t="s">
        <v>98</v>
      </c>
      <c r="C6" s="207" t="s">
        <v>99</v>
      </c>
      <c r="D6" s="15">
        <v>0.17</v>
      </c>
      <c r="E6" s="14">
        <v>2</v>
      </c>
      <c r="F6" s="14">
        <v>3</v>
      </c>
      <c r="G6" s="14">
        <v>2</v>
      </c>
      <c r="H6" s="8">
        <f>IF(COUNTA(E6:G6)=0,"",AVERAGE(E6:G6))</f>
        <v>2.3333333333333335</v>
      </c>
      <c r="I6" s="108">
        <f>IFERROR(ROUND(Tabel113[[#This Row],[Gem. score]]/5,2),0)</f>
        <v>0.47</v>
      </c>
      <c r="J6" s="12" t="str">
        <f>IF(F6="","",IF(F6&gt;=4,"A-Hout",IF(F6&gt;=2.75,"B-Hout","C-Hout")))</f>
        <v>B-Hout</v>
      </c>
      <c r="K6" s="151" t="str">
        <f t="shared" si="1"/>
        <v>Recycling</v>
      </c>
      <c r="L6" s="35" t="str">
        <f t="shared" si="2"/>
        <v>Laagwaardig</v>
      </c>
      <c r="M6" s="89">
        <v>240</v>
      </c>
      <c r="N6" s="7">
        <v>45</v>
      </c>
      <c r="O6" s="7">
        <v>150</v>
      </c>
      <c r="P6" s="8">
        <v>2</v>
      </c>
      <c r="Q6" s="148">
        <v>20</v>
      </c>
      <c r="R6" s="149">
        <f>Tabel113[[#This Row],[Volume (m3)]]*Tabel113[[#This Row],[CO2-nieuw (kg)]]+Tabel113[[#This Row],[Volume (m3)]]*Tabel113[[#This Row],[Transport-impact ]]*Tabel113[[#This Row],[Transport afstand (km)]]</f>
        <v>47.600000000000009</v>
      </c>
      <c r="S6" s="149">
        <f>Tabel113[[#This Row],[Volume (m3)]]*Tabel113[[#This Row],[CO2-Hergebruik (kg)]]+Tabel113[[#This Row],[Volume (m3)]]*Tabel113[[#This Row],[Transport-impact ]]*Tabel113[[#This Row],[Transport afstand (km)]]</f>
        <v>14.450000000000001</v>
      </c>
      <c r="T6" s="149">
        <f>Tabel113[[#This Row],[Volume (m3)]]*Tabel113[[#This Row],[CO2- recycle (kg)]]+Tabel113[[#This Row],[Volume (m3)]]*Tabel113[[#This Row],[Transport-impact ]]*Tabel113[[#This Row],[Transport afstand (km)]]</f>
        <v>32.300000000000004</v>
      </c>
      <c r="U6" s="49">
        <f>IF(V6="hergebruik",R6-S6,IF(V6="recycling",T6-S6,""))</f>
        <v>33.150000000000006</v>
      </c>
      <c r="V6" s="208" t="str">
        <f t="shared" si="4"/>
        <v>Hergebruik</v>
      </c>
      <c r="W6" s="84">
        <f>Tabel113[[#This Row],[Volume (m3)]]*Tabel113[[#This Row],[Geschatte recovery rate (%)]]</f>
        <v>7.9899999999999999E-2</v>
      </c>
      <c r="X6" s="44">
        <f>IF($J6="Totaal","",IFERROR(VLOOKUP($J6,Hout!$A$11:$D$14,4,FALSE),0))</f>
        <v>150</v>
      </c>
      <c r="Y6" s="329">
        <f>Tabel113[[#This Row],[Verkoopbaar volume (m3)]]*Tabel113[[#This Row],[Verkoopprijs aan retailer per m³]]</f>
        <v>11.984999999999999</v>
      </c>
    </row>
    <row r="7" spans="1:26">
      <c r="A7" s="7">
        <v>3</v>
      </c>
      <c r="B7" s="7" t="s">
        <v>100</v>
      </c>
      <c r="C7" s="207" t="s">
        <v>101</v>
      </c>
      <c r="D7" s="15">
        <v>10</v>
      </c>
      <c r="E7" s="14">
        <v>5</v>
      </c>
      <c r="F7" s="14">
        <v>1</v>
      </c>
      <c r="G7" s="14">
        <v>1</v>
      </c>
      <c r="H7" s="8">
        <f>IF(COUNTA(E7:G7)=0,"",AVERAGE(E7:G7))</f>
        <v>2.3333333333333335</v>
      </c>
      <c r="I7" s="108">
        <f>IFERROR(ROUND(Tabel113[[#This Row],[Gem. score]]/5,2),0)</f>
        <v>0.47</v>
      </c>
      <c r="J7" s="12" t="str">
        <f>IF(F7="","",IF(F7&gt;=4,"A-Hout",IF(F7&gt;=2.75,"B-Hout","C-Hout")))</f>
        <v>C-Hout</v>
      </c>
      <c r="K7" s="151" t="str">
        <f t="shared" si="1"/>
        <v>Recycling</v>
      </c>
      <c r="L7" s="35" t="str">
        <f t="shared" si="2"/>
        <v>Laagwaardig</v>
      </c>
      <c r="M7" s="89">
        <v>240</v>
      </c>
      <c r="N7" s="7">
        <v>45</v>
      </c>
      <c r="O7" s="7">
        <v>150</v>
      </c>
      <c r="P7" s="8">
        <v>3</v>
      </c>
      <c r="Q7" s="148">
        <v>20</v>
      </c>
      <c r="R7" s="149">
        <f>Tabel113[[#This Row],[Volume (m3)]]*Tabel113[[#This Row],[CO2-nieuw (kg)]]+Tabel113[[#This Row],[Volume (m3)]]*Tabel113[[#This Row],[Transport-impact ]]*Tabel113[[#This Row],[Transport afstand (km)]]</f>
        <v>3000</v>
      </c>
      <c r="S7" s="149">
        <f>Tabel113[[#This Row],[Volume (m3)]]*Tabel113[[#This Row],[CO2-Hergebruik (kg)]]+Tabel113[[#This Row],[Volume (m3)]]*Tabel113[[#This Row],[Transport-impact ]]*Tabel113[[#This Row],[Transport afstand (km)]]</f>
        <v>1050</v>
      </c>
      <c r="T7" s="149">
        <f>Tabel113[[#This Row],[Volume (m3)]]*Tabel113[[#This Row],[CO2- recycle (kg)]]+Tabel113[[#This Row],[Volume (m3)]]*Tabel113[[#This Row],[Transport-impact ]]*Tabel113[[#This Row],[Transport afstand (km)]]</f>
        <v>2100</v>
      </c>
      <c r="U7" s="49">
        <f t="shared" si="3"/>
        <v>1950</v>
      </c>
      <c r="V7" s="208" t="str">
        <f t="shared" si="4"/>
        <v>Hergebruik</v>
      </c>
      <c r="W7" s="84">
        <f>Tabel113[[#This Row],[Volume (m3)]]*Tabel113[[#This Row],[Geschatte recovery rate (%)]]</f>
        <v>4.6999999999999993</v>
      </c>
      <c r="X7" s="44">
        <f>IF($J7="Totaal","",IFERROR(VLOOKUP($J7,Hout!$A$11:$D$14,4,FALSE),0))</f>
        <v>0</v>
      </c>
      <c r="Y7" s="329">
        <f>Tabel113[[#This Row],[Verkoopbaar volume (m3)]]*Tabel113[[#This Row],[Verkoopprijs aan retailer per m³]]</f>
        <v>0</v>
      </c>
    </row>
    <row r="8" spans="1:26" ht="15" thickBot="1">
      <c r="A8" s="7">
        <v>4</v>
      </c>
      <c r="B8" s="7" t="s">
        <v>102</v>
      </c>
      <c r="C8" s="210" t="s">
        <v>97</v>
      </c>
      <c r="D8" s="15">
        <v>10</v>
      </c>
      <c r="E8" s="14">
        <v>5</v>
      </c>
      <c r="F8" s="14">
        <v>4</v>
      </c>
      <c r="G8" s="14">
        <v>5</v>
      </c>
      <c r="H8" s="8">
        <f>IF(COUNTA(E8:G8)=0,"",AVERAGE(E8:G8))</f>
        <v>4.666666666666667</v>
      </c>
      <c r="I8" s="108">
        <f>IFERROR(ROUND(Tabel113[[#This Row],[Gem. score]]/5,2),0)</f>
        <v>0.93</v>
      </c>
      <c r="J8" s="12" t="s">
        <v>103</v>
      </c>
      <c r="K8" s="151" t="str">
        <f t="shared" si="1"/>
        <v>Hergebruik</v>
      </c>
      <c r="L8" s="35" t="str">
        <f t="shared" si="2"/>
        <v>Hoogwaardig</v>
      </c>
      <c r="M8" s="91">
        <v>240</v>
      </c>
      <c r="N8" s="92">
        <v>45</v>
      </c>
      <c r="O8" s="92">
        <v>150</v>
      </c>
      <c r="P8" s="8">
        <v>2</v>
      </c>
      <c r="Q8" s="148">
        <v>20</v>
      </c>
      <c r="R8" s="150">
        <f>Tabel113[[#This Row],[Volume (m3)]]*Tabel113[[#This Row],[CO2-nieuw (kg)]]+Tabel113[[#This Row],[Volume (m3)]]*Tabel113[[#This Row],[Transport-impact ]]*Tabel113[[#This Row],[Transport afstand (km)]]</f>
        <v>2800</v>
      </c>
      <c r="S8" s="150">
        <f>Tabel113[[#This Row],[Volume (m3)]]*Tabel113[[#This Row],[CO2-Hergebruik (kg)]]+Tabel113[[#This Row],[Volume (m3)]]*Tabel113[[#This Row],[Transport-impact ]]*Tabel113[[#This Row],[Transport afstand (km)]]</f>
        <v>850</v>
      </c>
      <c r="T8" s="149">
        <f>Tabel113[[#This Row],[Volume (m3)]]*Tabel113[[#This Row],[CO2- recycle (kg)]]+Tabel113[[#This Row],[Volume (m3)]]*Tabel113[[#This Row],[Transport-impact ]]*Tabel113[[#This Row],[Transport afstand (km)]]</f>
        <v>1900</v>
      </c>
      <c r="U8" s="49">
        <f t="shared" si="3"/>
        <v>1950</v>
      </c>
      <c r="V8" s="208" t="str">
        <f t="shared" si="4"/>
        <v>Hergebruik</v>
      </c>
      <c r="W8" s="84">
        <f>Tabel113[[#This Row],[Volume (m3)]]*Tabel113[[#This Row],[Geschatte recovery rate (%)]]</f>
        <v>9.3000000000000007</v>
      </c>
      <c r="X8" s="44">
        <f>IF($J8="Totaal","",IFERROR(VLOOKUP($J8,Hout!$A$11:$D$14,4,FALSE),0))</f>
        <v>900</v>
      </c>
      <c r="Y8" s="329">
        <f>Tabel113[[#This Row],[Verkoopbaar volume (m3)]]*Tabel113[[#This Row],[Verkoopprijs aan retailer per m³]]</f>
        <v>8370</v>
      </c>
    </row>
    <row r="9" spans="1:26" s="193" customFormat="1"/>
    <row r="10" spans="1:26" s="193" customFormat="1" ht="43.2">
      <c r="A10" s="112" t="s">
        <v>104</v>
      </c>
      <c r="B10" s="113" t="s">
        <v>105</v>
      </c>
      <c r="C10" s="113" t="s">
        <v>106</v>
      </c>
      <c r="D10" s="82" t="s">
        <v>93</v>
      </c>
      <c r="N10" s="326"/>
      <c r="O10" s="326"/>
      <c r="P10" s="326"/>
      <c r="Q10" s="326"/>
    </row>
    <row r="11" spans="1:26" s="193" customFormat="1" ht="15.6">
      <c r="A11" s="82" t="s">
        <v>107</v>
      </c>
      <c r="B11" s="146">
        <v>375</v>
      </c>
      <c r="C11" s="115">
        <v>0.65</v>
      </c>
      <c r="D11" s="114">
        <f>Tabel1[[#This Row],[Retailer-inkoopfactor]]*Tabel1[[#This Row],[Retail hergebruikprijs per m³]]</f>
        <v>243.75</v>
      </c>
      <c r="N11" s="326"/>
      <c r="O11" s="326"/>
      <c r="P11" s="326"/>
    </row>
    <row r="12" spans="1:26" s="193" customFormat="1">
      <c r="A12" s="82" t="s">
        <v>108</v>
      </c>
      <c r="B12" s="146">
        <v>250</v>
      </c>
      <c r="C12" s="115">
        <v>0.6</v>
      </c>
      <c r="D12" s="114">
        <f>Tabel1[[#This Row],[Retailer-inkoopfactor]]*Tabel1[[#This Row],[Retail hergebruikprijs per m³]]</f>
        <v>150</v>
      </c>
      <c r="H12" s="325"/>
      <c r="I12" s="325"/>
      <c r="J12" s="325"/>
      <c r="K12" s="325"/>
      <c r="L12" s="325"/>
    </row>
    <row r="13" spans="1:26" s="193" customFormat="1" ht="15.6">
      <c r="A13" s="82" t="s">
        <v>109</v>
      </c>
      <c r="B13" s="146">
        <v>0</v>
      </c>
      <c r="C13" s="115">
        <v>0</v>
      </c>
      <c r="D13" s="114">
        <f>Tabel1[[#This Row],[Retailer-inkoopfactor]]*Tabel1[[#This Row],[Retail hergebruikprijs per m³]]</f>
        <v>0</v>
      </c>
      <c r="F13" s="324"/>
      <c r="H13" s="325"/>
      <c r="I13" s="325"/>
      <c r="J13" s="325"/>
      <c r="K13" s="325"/>
      <c r="L13" s="325"/>
      <c r="N13" s="326"/>
      <c r="O13" s="326"/>
      <c r="P13" s="326"/>
    </row>
    <row r="14" spans="1:26" s="193" customFormat="1" ht="15.6">
      <c r="A14" s="82" t="s">
        <v>103</v>
      </c>
      <c r="B14" s="146">
        <v>1500</v>
      </c>
      <c r="C14" s="115">
        <v>0.6</v>
      </c>
      <c r="D14" s="114">
        <f>Tabel1[[#This Row],[Retailer-inkoopfactor]]*Tabel1[[#This Row],[Retail hergebruikprijs per m³]]</f>
        <v>900</v>
      </c>
      <c r="F14" s="324"/>
      <c r="H14" s="325"/>
      <c r="I14" s="325"/>
      <c r="J14" s="325"/>
      <c r="K14" s="325"/>
      <c r="L14" s="325"/>
      <c r="N14" s="326"/>
      <c r="O14" s="326"/>
      <c r="P14" s="326"/>
    </row>
    <row r="15" spans="1:26" s="193" customFormat="1">
      <c r="F15" s="324"/>
      <c r="H15" s="325"/>
      <c r="I15" s="325"/>
      <c r="J15" s="325"/>
      <c r="K15" s="325"/>
      <c r="L15" s="325"/>
    </row>
    <row r="16" spans="1:26" hidden="1">
      <c r="F16" s="39"/>
      <c r="H16" s="206"/>
      <c r="I16" s="206"/>
      <c r="J16" s="206"/>
      <c r="K16" s="206"/>
      <c r="L16" s="206"/>
    </row>
    <row r="17" spans="6:26" hidden="1">
      <c r="F17" s="39"/>
      <c r="H17" s="206"/>
      <c r="I17" s="206"/>
      <c r="J17" s="206"/>
      <c r="K17" s="206"/>
      <c r="L17" s="206"/>
    </row>
    <row r="18" spans="6:26" ht="15.6" hidden="1">
      <c r="H18" s="206"/>
      <c r="I18" s="206"/>
      <c r="J18" s="206"/>
      <c r="K18" s="206"/>
      <c r="L18" s="206"/>
      <c r="Z18" s="327"/>
    </row>
    <row r="19" spans="6:26" hidden="1">
      <c r="H19" s="206"/>
      <c r="I19" s="206"/>
      <c r="J19" s="206"/>
      <c r="K19" s="206"/>
      <c r="L19" s="206"/>
    </row>
    <row r="20" spans="6:26" ht="15.6" hidden="1">
      <c r="H20" s="206"/>
      <c r="I20" s="206"/>
      <c r="J20" s="206"/>
      <c r="K20" s="206"/>
      <c r="L20" s="206"/>
      <c r="Z20" s="328"/>
    </row>
    <row r="22" spans="6:26" ht="15.6" hidden="1">
      <c r="Z22" s="328"/>
    </row>
  </sheetData>
  <mergeCells count="4">
    <mergeCell ref="A1:D1"/>
    <mergeCell ref="E1:L1"/>
    <mergeCell ref="M1:V1"/>
    <mergeCell ref="W1:Y1"/>
  </mergeCells>
  <phoneticPr fontId="6" type="noConversion"/>
  <conditionalFormatting sqref="I3:I8">
    <cfRule type="colorScale" priority="230">
      <colorScale>
        <cfvo type="min"/>
        <cfvo type="percentile" val="50"/>
        <cfvo type="max"/>
        <color rgb="FFFEE2E2"/>
        <color rgb="FFFEF3C7"/>
        <color rgb="FFDCFCE7"/>
      </colorScale>
    </cfRule>
  </conditionalFormatting>
  <conditionalFormatting sqref="Q3:Q8">
    <cfRule type="colorScale" priority="1">
      <colorScale>
        <cfvo type="min"/>
        <cfvo type="percentile" val="50"/>
        <cfvo type="max"/>
        <color rgb="FFFEE2E2"/>
        <color rgb="FFFEF3C7"/>
        <color rgb="FFDCFCE7"/>
      </colorScale>
    </cfRule>
  </conditionalFormatting>
  <dataValidations disablePrompts="1" count="3">
    <dataValidation type="list" sqref="F5:F8 P3:P8 G4:G8 E4:E8" xr:uid="{A3F9A172-C3D4-447A-A24E-BDDD0AF272AD}">
      <formula1>"1,2,3,4,5"</formula1>
    </dataValidation>
    <dataValidation type="list" sqref="J3 C3:C7" xr:uid="{46924560-109D-4895-8F9D-67DB7929FD49}">
      <formula1>"Staal,Hout,Beton,Aluminium,Koper,Keramiek,Bitumen,Overig"</formula1>
    </dataValidation>
    <dataValidation type="decimal" sqref="E3:G3" xr:uid="{78239C2C-AFDE-446F-80A8-914C3C2C47B0}">
      <formula1>0</formula1>
      <formula2>1</formula2>
    </dataValidation>
  </dataValidations>
  <pageMargins left="0.7" right="0.7" top="0.75" bottom="0.75" header="0.3" footer="0.3"/>
  <ignoredErrors>
    <ignoredError sqref="C3" listDataValidation="1"/>
  </ignoredErrors>
  <legacy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BC2C-6A6F-4C47-ADB1-91E957F8138C}">
  <dimension ref="A1:K14"/>
  <sheetViews>
    <sheetView zoomScale="60" workbookViewId="0">
      <selection activeCell="E8" sqref="E8"/>
    </sheetView>
  </sheetViews>
  <sheetFormatPr defaultColWidth="0" defaultRowHeight="14.4" zeroHeight="1"/>
  <cols>
    <col min="1" max="4" width="27.77734375" style="82" customWidth="1"/>
    <col min="5" max="5" width="5.44140625" style="82" customWidth="1"/>
    <col min="6" max="7" width="27.77734375" style="82" customWidth="1"/>
    <col min="8" max="8" width="47" style="82" customWidth="1"/>
    <col min="9" max="10" width="27.77734375" style="82" customWidth="1"/>
    <col min="11" max="11" width="10.33203125" style="331" customWidth="1"/>
    <col min="12" max="16384" width="0" style="82" hidden="1"/>
  </cols>
  <sheetData>
    <row r="1" spans="1:10">
      <c r="A1" s="78" t="s">
        <v>2</v>
      </c>
      <c r="B1" s="78" t="s">
        <v>31</v>
      </c>
      <c r="C1" s="78" t="s">
        <v>110</v>
      </c>
      <c r="D1" s="78" t="s">
        <v>111</v>
      </c>
      <c r="E1" s="331"/>
      <c r="F1" s="190" t="s">
        <v>2</v>
      </c>
      <c r="G1" s="190" t="s">
        <v>112</v>
      </c>
      <c r="H1" s="190" t="s">
        <v>113</v>
      </c>
      <c r="I1" s="190" t="s">
        <v>114</v>
      </c>
      <c r="J1" s="190" t="s">
        <v>115</v>
      </c>
    </row>
    <row r="2" spans="1:10" ht="43.2">
      <c r="A2" s="37" t="s">
        <v>107</v>
      </c>
      <c r="B2" s="38" t="s">
        <v>116</v>
      </c>
      <c r="C2" s="38" t="s">
        <v>117</v>
      </c>
      <c r="D2" s="38" t="s">
        <v>118</v>
      </c>
      <c r="E2" s="331"/>
      <c r="F2" s="191" t="s">
        <v>95</v>
      </c>
      <c r="G2" s="82" t="s">
        <v>119</v>
      </c>
      <c r="H2" s="82" t="s">
        <v>120</v>
      </c>
      <c r="I2" s="82" t="s">
        <v>121</v>
      </c>
      <c r="J2" s="82" t="s">
        <v>122</v>
      </c>
    </row>
    <row r="3" spans="1:10" ht="57.6">
      <c r="A3" s="37" t="s">
        <v>108</v>
      </c>
      <c r="B3" s="38" t="s">
        <v>123</v>
      </c>
      <c r="C3" s="38" t="s">
        <v>124</v>
      </c>
      <c r="D3" s="38" t="s">
        <v>125</v>
      </c>
      <c r="E3" s="331"/>
      <c r="F3" s="191" t="s">
        <v>97</v>
      </c>
      <c r="G3" s="82" t="s">
        <v>126</v>
      </c>
      <c r="H3" s="82" t="s">
        <v>127</v>
      </c>
      <c r="I3" s="82" t="s">
        <v>128</v>
      </c>
      <c r="J3" s="82" t="s">
        <v>129</v>
      </c>
    </row>
    <row r="4" spans="1:10" ht="57.6">
      <c r="A4" s="37" t="s">
        <v>109</v>
      </c>
      <c r="B4" s="38" t="s">
        <v>130</v>
      </c>
      <c r="C4" s="38" t="s">
        <v>131</v>
      </c>
      <c r="D4" s="38" t="s">
        <v>132</v>
      </c>
      <c r="E4" s="331"/>
      <c r="F4" s="191" t="s">
        <v>99</v>
      </c>
      <c r="G4" s="82" t="s">
        <v>133</v>
      </c>
      <c r="H4" s="82" t="s">
        <v>134</v>
      </c>
      <c r="I4" s="82" t="s">
        <v>135</v>
      </c>
      <c r="J4" s="82" t="s">
        <v>136</v>
      </c>
    </row>
    <row r="5" spans="1:10" ht="57.6">
      <c r="A5" s="37" t="s">
        <v>103</v>
      </c>
      <c r="B5" s="38" t="s">
        <v>137</v>
      </c>
      <c r="C5" s="38" t="s">
        <v>138</v>
      </c>
      <c r="D5" s="38" t="s">
        <v>139</v>
      </c>
      <c r="E5" s="331"/>
      <c r="F5" s="191" t="s">
        <v>101</v>
      </c>
      <c r="G5" s="82" t="s">
        <v>140</v>
      </c>
      <c r="H5" s="82" t="s">
        <v>141</v>
      </c>
      <c r="I5" s="82" t="s">
        <v>142</v>
      </c>
      <c r="J5" s="82" t="s">
        <v>143</v>
      </c>
    </row>
    <row r="6" spans="1:10">
      <c r="A6" s="331"/>
      <c r="B6" s="331"/>
      <c r="C6" s="331"/>
      <c r="D6" s="331"/>
      <c r="E6" s="331"/>
      <c r="F6" s="331"/>
      <c r="G6" s="331"/>
      <c r="H6" s="331"/>
      <c r="I6" s="331"/>
      <c r="J6" s="331"/>
    </row>
    <row r="7" spans="1:10">
      <c r="A7" s="42" t="s">
        <v>389</v>
      </c>
      <c r="B7" s="40" t="s">
        <v>30</v>
      </c>
      <c r="C7" s="40" t="s">
        <v>378</v>
      </c>
      <c r="D7" s="331"/>
      <c r="E7" s="331"/>
      <c r="F7" s="331"/>
      <c r="G7" s="331"/>
      <c r="H7" s="331"/>
      <c r="I7" s="331"/>
      <c r="J7" s="331"/>
    </row>
    <row r="8" spans="1:10" ht="57.6">
      <c r="A8" s="41" t="s">
        <v>379</v>
      </c>
      <c r="B8" s="39" t="s">
        <v>32</v>
      </c>
      <c r="C8" s="39" t="s">
        <v>380</v>
      </c>
      <c r="D8" s="332"/>
      <c r="E8" s="332"/>
      <c r="F8" s="331"/>
      <c r="G8" s="331"/>
      <c r="H8" s="331"/>
      <c r="I8" s="331"/>
      <c r="J8" s="331"/>
    </row>
    <row r="9" spans="1:10" ht="57.6">
      <c r="A9" s="41" t="s">
        <v>381</v>
      </c>
      <c r="B9" s="39" t="s">
        <v>382</v>
      </c>
      <c r="C9" s="39" t="s">
        <v>383</v>
      </c>
      <c r="D9" s="333"/>
      <c r="E9" s="333"/>
      <c r="F9" s="331"/>
      <c r="G9" s="331"/>
      <c r="H9" s="331"/>
      <c r="I9" s="331"/>
      <c r="J9" s="331"/>
    </row>
    <row r="10" spans="1:10" ht="28.8">
      <c r="A10" s="41" t="s">
        <v>384</v>
      </c>
      <c r="B10" s="39" t="s">
        <v>385</v>
      </c>
      <c r="C10" s="39" t="s">
        <v>386</v>
      </c>
      <c r="D10" s="333"/>
      <c r="E10" s="333"/>
      <c r="F10" s="331"/>
      <c r="G10" s="331"/>
      <c r="H10" s="331"/>
      <c r="I10" s="331"/>
      <c r="J10" s="331"/>
    </row>
    <row r="11" spans="1:10" ht="28.8">
      <c r="A11" s="41" t="s">
        <v>387</v>
      </c>
      <c r="B11" s="39" t="s">
        <v>36</v>
      </c>
      <c r="C11" s="39" t="s">
        <v>388</v>
      </c>
      <c r="D11" s="333"/>
      <c r="E11" s="333"/>
      <c r="F11" s="331"/>
      <c r="G11" s="331"/>
      <c r="H11" s="331"/>
      <c r="I11" s="331"/>
      <c r="J11" s="331"/>
    </row>
    <row r="12" spans="1:10">
      <c r="A12" s="333"/>
      <c r="B12" s="333"/>
      <c r="C12" s="333"/>
      <c r="D12" s="333"/>
      <c r="E12" s="333"/>
      <c r="F12" s="331"/>
      <c r="G12" s="331"/>
      <c r="H12" s="331"/>
      <c r="I12" s="331"/>
      <c r="J12" s="331"/>
    </row>
    <row r="13" spans="1:10" hidden="1">
      <c r="A13" s="198"/>
      <c r="B13" s="198"/>
      <c r="C13" s="198"/>
      <c r="D13" s="198"/>
      <c r="E13" s="198"/>
    </row>
    <row r="14" spans="1:10" hidden="1">
      <c r="A14" s="198"/>
      <c r="B14" s="198"/>
      <c r="C14" s="198"/>
      <c r="D14" s="198"/>
      <c r="E14" s="198"/>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C9EE-E1DA-4361-8A55-EF61E32D36CC}">
  <dimension ref="A1:B11"/>
  <sheetViews>
    <sheetView workbookViewId="0">
      <selection activeCell="H22" sqref="H22"/>
    </sheetView>
  </sheetViews>
  <sheetFormatPr defaultColWidth="8.77734375" defaultRowHeight="14.4"/>
  <cols>
    <col min="1" max="1" width="12.109375" bestFit="1" customWidth="1"/>
    <col min="2" max="2" width="13.109375" customWidth="1"/>
  </cols>
  <sheetData>
    <row r="1" spans="1:2">
      <c r="A1" s="201" t="s">
        <v>144</v>
      </c>
      <c r="B1" s="201" t="s">
        <v>145</v>
      </c>
    </row>
    <row r="2" spans="1:2">
      <c r="A2" s="202" t="s">
        <v>58</v>
      </c>
      <c r="B2" s="202">
        <v>1.35</v>
      </c>
    </row>
    <row r="3" spans="1:2">
      <c r="A3" s="203" t="s">
        <v>60</v>
      </c>
      <c r="B3" s="203">
        <v>0</v>
      </c>
    </row>
    <row r="4" spans="1:2">
      <c r="A4" s="203" t="s">
        <v>61</v>
      </c>
      <c r="B4" s="203">
        <v>0</v>
      </c>
    </row>
    <row r="5" spans="1:2">
      <c r="A5" s="203" t="s">
        <v>64</v>
      </c>
      <c r="B5" s="203">
        <v>0</v>
      </c>
    </row>
    <row r="6" spans="1:2">
      <c r="A6" s="203" t="s">
        <v>67</v>
      </c>
      <c r="B6" s="203">
        <v>0</v>
      </c>
    </row>
    <row r="7" spans="1:2">
      <c r="A7" s="203" t="s">
        <v>68</v>
      </c>
      <c r="B7" s="203">
        <v>0.17</v>
      </c>
    </row>
    <row r="8" spans="1:2">
      <c r="A8" s="203" t="s">
        <v>69</v>
      </c>
      <c r="B8" s="203">
        <v>0</v>
      </c>
    </row>
    <row r="9" spans="1:2">
      <c r="A9" s="203" t="s">
        <v>70</v>
      </c>
      <c r="B9" s="203">
        <v>1.18</v>
      </c>
    </row>
    <row r="10" spans="1:2">
      <c r="A10" s="203" t="s">
        <v>71</v>
      </c>
      <c r="B10" s="203">
        <v>0</v>
      </c>
    </row>
    <row r="11" spans="1:2">
      <c r="A11" s="203" t="s">
        <v>72</v>
      </c>
      <c r="B11" s="20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sheetPr>
  <dimension ref="A1:AG21"/>
  <sheetViews>
    <sheetView zoomScale="78" zoomScaleNormal="110" workbookViewId="0">
      <selection activeCell="G11" sqref="G11"/>
    </sheetView>
  </sheetViews>
  <sheetFormatPr defaultColWidth="0" defaultRowHeight="0" customHeight="1" zeroHeight="1"/>
  <cols>
    <col min="1" max="1" width="13.109375" customWidth="1"/>
    <col min="2" max="2" width="36" customWidth="1"/>
    <col min="3" max="3" width="41.21875" customWidth="1"/>
    <col min="4" max="4" width="30.109375" customWidth="1"/>
    <col min="5" max="5" width="18" customWidth="1"/>
    <col min="6" max="6" width="19" customWidth="1"/>
    <col min="7" max="7" width="24" customWidth="1"/>
    <col min="8" max="8" width="19.109375" customWidth="1"/>
    <col min="9" max="9" width="18" customWidth="1"/>
    <col min="10" max="11" width="20.44140625" customWidth="1"/>
    <col min="12" max="12" width="27.44140625" bestFit="1" customWidth="1"/>
    <col min="13" max="13" width="18" customWidth="1"/>
    <col min="14" max="14" width="20" customWidth="1"/>
    <col min="15" max="15" width="16" customWidth="1"/>
    <col min="16" max="16" width="16.109375" bestFit="1" customWidth="1"/>
    <col min="17" max="17" width="18" customWidth="1"/>
    <col min="18" max="18" width="22" customWidth="1"/>
    <col min="19" max="19" width="20" customWidth="1"/>
    <col min="20" max="21" width="18" customWidth="1"/>
    <col min="22" max="23" width="16" customWidth="1"/>
    <col min="24" max="24" width="30.109375" bestFit="1" customWidth="1"/>
    <col min="25" max="25" width="42" customWidth="1"/>
    <col min="26" max="26" width="6.88671875" style="335" customWidth="1"/>
    <col min="27" max="27" width="12.109375" style="193" hidden="1" customWidth="1"/>
    <col min="28" max="28" width="8.44140625" style="193" hidden="1" customWidth="1"/>
    <col min="29" max="29" width="12.77734375" style="193" hidden="1" customWidth="1"/>
    <col min="30" max="30" width="20" style="193" hidden="1" customWidth="1"/>
    <col min="31" max="31" width="23.109375" style="193" hidden="1" customWidth="1"/>
    <col min="32" max="32" width="22.109375" style="193" hidden="1" customWidth="1"/>
    <col min="33" max="33" width="19.44140625" style="193" hidden="1" customWidth="1"/>
    <col min="34" max="16384" width="8.77734375" style="193" hidden="1"/>
  </cols>
  <sheetData>
    <row r="1" spans="1:27" ht="15" customHeight="1" thickBot="1">
      <c r="A1" s="355" t="s">
        <v>75</v>
      </c>
      <c r="B1" s="355"/>
      <c r="C1" s="355"/>
      <c r="D1" s="355"/>
      <c r="E1" s="361" t="s">
        <v>76</v>
      </c>
      <c r="F1" s="361"/>
      <c r="G1" s="361"/>
      <c r="H1" s="361"/>
      <c r="I1" s="361"/>
      <c r="J1" s="361"/>
      <c r="K1" s="361"/>
      <c r="L1" s="362"/>
      <c r="M1" s="363" t="s">
        <v>77</v>
      </c>
      <c r="N1" s="364"/>
      <c r="O1" s="364"/>
      <c r="P1" s="364"/>
      <c r="Q1" s="364"/>
      <c r="R1" s="364"/>
      <c r="S1" s="364"/>
      <c r="T1" s="364"/>
      <c r="U1" s="364"/>
      <c r="V1" s="364"/>
      <c r="W1" s="357" t="s">
        <v>78</v>
      </c>
      <c r="X1" s="357"/>
      <c r="Y1" s="365"/>
      <c r="Z1" s="334"/>
      <c r="AA1" s="330"/>
    </row>
    <row r="2" spans="1:27" ht="33" customHeight="1">
      <c r="A2" s="18" t="s">
        <v>79</v>
      </c>
      <c r="B2" s="18" t="s">
        <v>80</v>
      </c>
      <c r="C2" s="19" t="s">
        <v>81</v>
      </c>
      <c r="D2" s="152" t="s">
        <v>82</v>
      </c>
      <c r="E2" s="306" t="s">
        <v>43</v>
      </c>
      <c r="F2" s="152" t="s">
        <v>44</v>
      </c>
      <c r="G2" s="152" t="s">
        <v>45</v>
      </c>
      <c r="H2" s="19" t="s">
        <v>83</v>
      </c>
      <c r="I2" s="19" t="s">
        <v>84</v>
      </c>
      <c r="J2" s="19" t="s">
        <v>47</v>
      </c>
      <c r="K2" s="19" t="s">
        <v>30</v>
      </c>
      <c r="L2" s="83" t="s">
        <v>86</v>
      </c>
      <c r="M2" s="85" t="s">
        <v>87</v>
      </c>
      <c r="N2" s="69" t="s">
        <v>88</v>
      </c>
      <c r="O2" s="69" t="s">
        <v>89</v>
      </c>
      <c r="P2" s="170" t="s">
        <v>374</v>
      </c>
      <c r="Q2" s="170" t="s">
        <v>90</v>
      </c>
      <c r="R2" s="69" t="s">
        <v>147</v>
      </c>
      <c r="S2" s="69" t="s">
        <v>49</v>
      </c>
      <c r="T2" s="69" t="s">
        <v>50</v>
      </c>
      <c r="U2" s="69" t="s">
        <v>59</v>
      </c>
      <c r="V2" s="70" t="s">
        <v>92</v>
      </c>
      <c r="W2" s="40" t="s">
        <v>375</v>
      </c>
      <c r="X2" t="s">
        <v>93</v>
      </c>
      <c r="Y2" s="2" t="s">
        <v>55</v>
      </c>
      <c r="Z2" s="330"/>
    </row>
    <row r="3" spans="1:27" ht="14.7" customHeight="1">
      <c r="A3" s="20"/>
      <c r="B3" s="59" t="s">
        <v>73</v>
      </c>
      <c r="C3" s="6"/>
      <c r="D3" s="58">
        <v>9979.5</v>
      </c>
      <c r="E3" s="121">
        <f>AVERAGE(E4:E7)</f>
        <v>5</v>
      </c>
      <c r="F3" s="121">
        <f>AVERAGE(F4:F7)</f>
        <v>3.5</v>
      </c>
      <c r="G3" s="121">
        <f>AVERAGE(G4:G7)</f>
        <v>3.75</v>
      </c>
      <c r="H3" s="121">
        <f>AVERAGE(H4:H7)</f>
        <v>4.083333333333333</v>
      </c>
      <c r="I3" s="177">
        <f>IFERROR(ROUND(Tabel17[[#This Row],[Gem. score]]/5,2),0)</f>
        <v>0.82</v>
      </c>
      <c r="J3" s="147" t="str">
        <f>IF(F2="","",IF(F2&gt;=4,"A-Staal",IF(F2&gt;=2.75,"B-Staal","C-Staal")))</f>
        <v>A-Staal</v>
      </c>
      <c r="K3" s="151" t="str">
        <f t="shared" ref="K3:K7" si="0">IF(J3="A-staal","Hergebruik",IF(J3="C-staal","Recycling",IF(H3&gt;=4,"Hergebruik","Recycling")))</f>
        <v>Hergebruik</v>
      </c>
      <c r="L3" s="179" t="str">
        <f>IF(I3&gt;=75%,"Hoogwaardig","Laagwaardig")</f>
        <v>Hoogwaardig</v>
      </c>
      <c r="M3" s="86">
        <v>13345</v>
      </c>
      <c r="N3" s="199">
        <v>785</v>
      </c>
      <c r="O3" s="199">
        <v>3925</v>
      </c>
      <c r="P3" s="8">
        <v>4</v>
      </c>
      <c r="Q3" s="9">
        <v>50</v>
      </c>
      <c r="R3" s="149">
        <f>Tabel17[[#This Row],[Volume (m3)]]*Tabel17[[#This Row],[CO2-nieuw (kg)]]+Tabel17[[#This Row],[Volume (m3)]]*Tabel17[[#This Row],[Transport afstand (km)]]*Tabel17[[#This Row],[Transport-impact ]]</f>
        <v>135172327.5</v>
      </c>
      <c r="S3" s="149">
        <f>Tabel17[[#This Row],[Volume (m3)]]*Tabel17[[#This Row],[CO2-Hergebruik (kg)]]+Tabel17[[#This Row],[Volume (m3)]]*Tabel17[[#This Row],[Transport-impact ]]*Tabel17[[#This Row],[Transport afstand (km)]]</f>
        <v>9829807.5</v>
      </c>
      <c r="T3" s="149">
        <f>Tabel17[[#This Row],[Volume (m3)]]*Tabel17[[#This Row],[CO2- recycle (kg)]]+Tabel17[[#This Row],[Volume (m3)]]*Tabel17[[#This Row],[Transport-impact ]]*Tabel17[[#This Row],[Transport afstand (km)]]</f>
        <v>41165437.5</v>
      </c>
      <c r="U3" s="49">
        <f t="shared" ref="U3:U7" si="1">IF(V3="hergebruik",R3-S3,IF(V3="recycling",T3-S3,""))</f>
        <v>125342520</v>
      </c>
      <c r="V3" s="87" t="str">
        <f t="shared" ref="V3:V6" si="2">IF(S3=MIN(R3:T3),"Hergebruik",IF(T3=MIN(R3:T3),"Recycling","Nieuw"))</f>
        <v>Hergebruik</v>
      </c>
      <c r="W3" s="84">
        <f>Tabel17[[#This Row],[Volume (m3)]]*Tabel17[[#This Row],[Geschatte recovery rate (%)]]</f>
        <v>8183.19</v>
      </c>
      <c r="X3" s="43">
        <f>IFERROR(VLOOKUP(J3,$A$10:$D$13,4,FALSE),0)</f>
        <v>255</v>
      </c>
      <c r="Y3" s="43">
        <f>SUM(Y4:Y7)</f>
        <v>3247.4</v>
      </c>
      <c r="Z3" s="330"/>
    </row>
    <row r="4" spans="1:27" ht="14.7" customHeight="1">
      <c r="A4" s="21">
        <v>1</v>
      </c>
      <c r="B4" s="21" t="s">
        <v>149</v>
      </c>
      <c r="C4" s="4" t="s">
        <v>150</v>
      </c>
      <c r="D4" s="50">
        <v>4</v>
      </c>
      <c r="E4" s="168">
        <v>5</v>
      </c>
      <c r="F4" s="168">
        <v>4</v>
      </c>
      <c r="G4" s="168">
        <v>4</v>
      </c>
      <c r="H4" s="178">
        <f>IF(COUNTA(E4:G4)=0,"",AVERAGE(E4:G4))</f>
        <v>4.333333333333333</v>
      </c>
      <c r="I4" s="107">
        <f>IFERROR(ROUND(Tabel17[[#This Row],[Gem. score]]/5,2),0)</f>
        <v>0.87</v>
      </c>
      <c r="J4" s="147" t="str">
        <f>IF(F3="","",IF(F3&gt;=4,"A-Staal",IF(F3&gt;=2.75,"B-Staal","C-Staal")))</f>
        <v>B-Staal</v>
      </c>
      <c r="K4" s="151" t="str">
        <f t="shared" si="0"/>
        <v>Hergebruik</v>
      </c>
      <c r="L4" s="153" t="str">
        <f t="shared" ref="L4:L7" si="3">IF(I4&gt;=75%,"Hoogwaardig","Laagwaardig")</f>
        <v>Hoogwaardig</v>
      </c>
      <c r="M4" s="86">
        <v>13345</v>
      </c>
      <c r="N4" s="199">
        <v>785</v>
      </c>
      <c r="O4" s="199">
        <v>3925</v>
      </c>
      <c r="P4" s="8">
        <v>4</v>
      </c>
      <c r="Q4" s="13">
        <v>20</v>
      </c>
      <c r="R4" s="180">
        <f>Tabel17[[#This Row],[Volume (m3)]]*Tabel17[[#This Row],[CO2-nieuw (kg)]]+Tabel17[[#This Row],[Volume (m3)]]*Tabel17[[#This Row],[Transport afstand (km)]]*Tabel17[[#This Row],[Transport-impact ]]</f>
        <v>53700</v>
      </c>
      <c r="S4" s="180">
        <f>Tabel17[[#This Row],[Volume (m3)]]*Tabel17[[#This Row],[CO2-Hergebruik (kg)]]+Tabel17[[#This Row],[Volume (m3)]]*Tabel17[[#This Row],[Transport-impact ]]*Tabel17[[#This Row],[Transport afstand (km)]]</f>
        <v>3460</v>
      </c>
      <c r="T4" s="180">
        <f>Tabel17[[#This Row],[Volume (m3)]]*Tabel17[[#This Row],[CO2- recycle (kg)]]+Tabel17[[#This Row],[Volume (m3)]]*Tabel17[[#This Row],[Transport-impact ]]*Tabel17[[#This Row],[Transport afstand (km)]]</f>
        <v>16020</v>
      </c>
      <c r="U4" s="49">
        <f t="shared" si="1"/>
        <v>50240</v>
      </c>
      <c r="V4" s="87" t="str">
        <f t="shared" si="2"/>
        <v>Hergebruik</v>
      </c>
      <c r="W4" s="84">
        <f>Tabel17[[#This Row],[Volume (m3)]]*Tabel17[[#This Row],[Geschatte recovery rate (%)]]</f>
        <v>3.48</v>
      </c>
      <c r="X4" s="44">
        <f>IFERROR(VLOOKUP(J4,$A$10:$D$13,4,FALSE),0)</f>
        <v>150</v>
      </c>
      <c r="Y4" s="43">
        <f>Tabel17[[#This Row],[Verkoopbaar volume (m3)]]*Tabel17[[#This Row],[Verkoopprijs aan retailer per m³]]</f>
        <v>522</v>
      </c>
      <c r="Z4" s="330"/>
    </row>
    <row r="5" spans="1:27" ht="14.7" customHeight="1">
      <c r="A5" s="21">
        <v>2</v>
      </c>
      <c r="B5" s="21" t="s">
        <v>152</v>
      </c>
      <c r="C5" s="4" t="s">
        <v>153</v>
      </c>
      <c r="D5" s="50">
        <v>4</v>
      </c>
      <c r="E5" s="7">
        <v>5</v>
      </c>
      <c r="F5" s="7">
        <v>4</v>
      </c>
      <c r="G5" s="7">
        <v>4</v>
      </c>
      <c r="H5" s="8">
        <f>IF(COUNTA(E5:G5)=0,"",AVERAGE(E5:G5))</f>
        <v>4.333333333333333</v>
      </c>
      <c r="I5" s="100">
        <f>IFERROR(ROUND(Tabel17[[#This Row],[Gem. score]]/5,2),0)</f>
        <v>0.87</v>
      </c>
      <c r="J5" s="147" t="str">
        <f>IF(F4="","",IF(F4&gt;=4,"A-Staal",IF(F4&gt;=2.75,"B-Staal","C-Staal")))</f>
        <v>A-Staal</v>
      </c>
      <c r="K5" s="151" t="str">
        <f t="shared" si="0"/>
        <v>Hergebruik</v>
      </c>
      <c r="L5" s="153" t="str">
        <f t="shared" si="3"/>
        <v>Hoogwaardig</v>
      </c>
      <c r="M5" s="86">
        <v>13345</v>
      </c>
      <c r="N5" s="199">
        <v>785</v>
      </c>
      <c r="O5" s="199">
        <v>3925</v>
      </c>
      <c r="P5" s="8">
        <v>4</v>
      </c>
      <c r="Q5" s="13">
        <v>20</v>
      </c>
      <c r="R5" s="180">
        <f>Tabel17[[#This Row],[Volume (m3)]]*Tabel17[[#This Row],[CO2-nieuw (kg)]]+Tabel17[[#This Row],[Volume (m3)]]*Tabel17[[#This Row],[Transport afstand (km)]]*Tabel17[[#This Row],[Transport-impact ]]</f>
        <v>53700</v>
      </c>
      <c r="S5" s="180">
        <f>Tabel17[[#This Row],[Volume (m3)]]*Tabel17[[#This Row],[CO2-Hergebruik (kg)]]+Tabel17[[#This Row],[Volume (m3)]]*Tabel17[[#This Row],[Transport-impact ]]*Tabel17[[#This Row],[Transport afstand (km)]]</f>
        <v>3460</v>
      </c>
      <c r="T5" s="180">
        <f>Tabel17[[#This Row],[Volume (m3)]]*Tabel17[[#This Row],[CO2- recycle (kg)]]+Tabel17[[#This Row],[Volume (m3)]]*Tabel17[[#This Row],[Transport-impact ]]*Tabel17[[#This Row],[Transport afstand (km)]]</f>
        <v>16020</v>
      </c>
      <c r="U5" s="49">
        <f t="shared" si="1"/>
        <v>50240</v>
      </c>
      <c r="V5" s="87" t="str">
        <f t="shared" si="2"/>
        <v>Hergebruik</v>
      </c>
      <c r="W5" s="84">
        <f>Tabel17[[#This Row],[Volume (m3)]]*Tabel17[[#This Row],[Geschatte recovery rate (%)]]</f>
        <v>3.48</v>
      </c>
      <c r="X5" s="44">
        <f>IFERROR(VLOOKUP(J5,$A$10:$D$13,4,FALSE),0)</f>
        <v>255</v>
      </c>
      <c r="Y5" s="43">
        <f>Tabel17[[#This Row],[Verkoopbaar volume (m3)]]*Tabel17[[#This Row],[Verkoopprijs aan retailer per m³]]</f>
        <v>887.4</v>
      </c>
      <c r="Z5" s="330"/>
    </row>
    <row r="6" spans="1:27" ht="14.7" customHeight="1">
      <c r="A6" s="21">
        <v>3</v>
      </c>
      <c r="B6" s="21" t="s">
        <v>154</v>
      </c>
      <c r="C6" s="4" t="s">
        <v>155</v>
      </c>
      <c r="D6" s="50">
        <v>4</v>
      </c>
      <c r="E6" s="7">
        <v>5</v>
      </c>
      <c r="F6" s="7">
        <v>3</v>
      </c>
      <c r="G6" s="7">
        <v>4</v>
      </c>
      <c r="H6" s="8">
        <f>IF(COUNTA(E6:G6)=0,"",AVERAGE(E6:G6))</f>
        <v>4</v>
      </c>
      <c r="I6" s="100">
        <f>IFERROR(ROUND(Tabel17[[#This Row],[Gem. score]]/5,2),0)</f>
        <v>0.8</v>
      </c>
      <c r="J6" s="147" t="str">
        <f>IF(F5="","",IF(F5&gt;=4,"A-Staal",IF(F5&gt;=2.75,"B-Staal","C-Staal")))</f>
        <v>A-Staal</v>
      </c>
      <c r="K6" s="151" t="str">
        <f t="shared" si="0"/>
        <v>Hergebruik</v>
      </c>
      <c r="L6" s="153" t="str">
        <f t="shared" si="3"/>
        <v>Hoogwaardig</v>
      </c>
      <c r="M6" s="86">
        <v>13345</v>
      </c>
      <c r="N6" s="199">
        <v>785</v>
      </c>
      <c r="O6" s="199">
        <v>3925</v>
      </c>
      <c r="P6" s="8">
        <v>4</v>
      </c>
      <c r="Q6" s="13">
        <v>20</v>
      </c>
      <c r="R6" s="66">
        <f>Tabel17[[#This Row],[Volume (m3)]]*Tabel17[[#This Row],[CO2-nieuw (kg)]]+Tabel17[[#This Row],[Volume (m3)]]*Tabel17[[#This Row],[Transport afstand (km)]]*Tabel17[[#This Row],[Transport-impact ]]</f>
        <v>53700</v>
      </c>
      <c r="S6" s="66">
        <f>Tabel17[[#This Row],[Volume (m3)]]*Tabel17[[#This Row],[CO2-Hergebruik (kg)]]+Tabel17[[#This Row],[Volume (m3)]]*Tabel17[[#This Row],[Transport-impact ]]*Tabel17[[#This Row],[Transport afstand (km)]]</f>
        <v>3460</v>
      </c>
      <c r="T6" s="66">
        <f>Tabel17[[#This Row],[Volume (m3)]]*Tabel17[[#This Row],[CO2- recycle (kg)]]+Tabel17[[#This Row],[Volume (m3)]]*Tabel17[[#This Row],[Transport-impact ]]*Tabel17[[#This Row],[Transport afstand (km)]]</f>
        <v>16020</v>
      </c>
      <c r="U6" s="49">
        <f t="shared" si="1"/>
        <v>50240</v>
      </c>
      <c r="V6" s="87" t="str">
        <f t="shared" si="2"/>
        <v>Hergebruik</v>
      </c>
      <c r="W6" s="84">
        <f>Tabel17[[#This Row],[Volume (m3)]]*Tabel17[[#This Row],[Geschatte recovery rate (%)]]</f>
        <v>3.2</v>
      </c>
      <c r="X6" s="44">
        <f>IFERROR(VLOOKUP(J6,$A$10:$D$13,4,FALSE),0)</f>
        <v>255</v>
      </c>
      <c r="Y6" s="43">
        <f>Tabel17[[#This Row],[Verkoopbaar volume (m3)]]*Tabel17[[#This Row],[Verkoopprijs aan retailer per m³]]</f>
        <v>816</v>
      </c>
      <c r="Z6" s="330"/>
    </row>
    <row r="7" spans="1:27" ht="14.7" customHeight="1">
      <c r="A7" s="21">
        <v>4</v>
      </c>
      <c r="B7" s="21" t="s">
        <v>156</v>
      </c>
      <c r="C7" s="4" t="s">
        <v>157</v>
      </c>
      <c r="D7" s="50">
        <v>4</v>
      </c>
      <c r="E7" s="7">
        <v>5</v>
      </c>
      <c r="F7" s="7">
        <v>3</v>
      </c>
      <c r="G7" s="7">
        <v>3</v>
      </c>
      <c r="H7" s="8">
        <f t="shared" ref="H7" si="4">IF(COUNTA(E7:G7)=0,"",AVERAGE(E7:G7))</f>
        <v>3.6666666666666665</v>
      </c>
      <c r="I7" s="100">
        <f>IFERROR(ROUND(Tabel17[[#This Row],[Gem. score]]/5,2),0)</f>
        <v>0.73</v>
      </c>
      <c r="J7" s="147" t="s">
        <v>373</v>
      </c>
      <c r="K7" s="151" t="str">
        <f t="shared" si="0"/>
        <v>Recycling</v>
      </c>
      <c r="L7" s="153" t="str">
        <f t="shared" si="3"/>
        <v>Laagwaardig</v>
      </c>
      <c r="M7" s="86">
        <v>13345</v>
      </c>
      <c r="N7" s="199">
        <v>785</v>
      </c>
      <c r="O7" s="199">
        <v>3925</v>
      </c>
      <c r="P7" s="8">
        <v>4</v>
      </c>
      <c r="Q7" s="13">
        <v>20</v>
      </c>
      <c r="R7" s="66">
        <f>Tabel17[[#This Row],[Volume (m3)]]*Tabel17[[#This Row],[CO2-nieuw (kg)]]+Tabel17[[#This Row],[Volume (m3)]]*Tabel17[[#This Row],[Transport afstand (km)]]*Tabel17[[#This Row],[Transport-impact ]]</f>
        <v>53700</v>
      </c>
      <c r="S7" s="66">
        <f>Tabel17[[#This Row],[Volume (m3)]]*Tabel17[[#This Row],[CO2-Hergebruik (kg)]]+Tabel17[[#This Row],[Volume (m3)]]*Tabel17[[#This Row],[Transport-impact ]]*Tabel17[[#This Row],[Transport afstand (km)]]</f>
        <v>3460</v>
      </c>
      <c r="T7" s="66">
        <f>Tabel17[[#This Row],[Volume (m3)]]*Tabel17[[#This Row],[CO2- recycle (kg)]]+Tabel17[[#This Row],[Volume (m3)]]*Tabel17[[#This Row],[Transport-impact ]]*Tabel17[[#This Row],[Transport afstand (km)]]</f>
        <v>16020</v>
      </c>
      <c r="U7" s="49">
        <f t="shared" si="1"/>
        <v>50240</v>
      </c>
      <c r="V7" s="88" t="str">
        <f>IF(S7=MIN(R7:T7),"Hergebruik",IF(T7=MIN(R7:T7),"Recycling","Nieuw"))</f>
        <v>Hergebruik</v>
      </c>
      <c r="W7" s="84">
        <f>Tabel17[[#This Row],[Volume (m3)]]*Tabel17[[#This Row],[Geschatte recovery rate (%)]]</f>
        <v>2.92</v>
      </c>
      <c r="X7" s="44">
        <f>IFERROR(VLOOKUP(J7,$A$10:$D$13,4,FALSE),0)</f>
        <v>350</v>
      </c>
      <c r="Y7" s="43">
        <f>Tabel17[[#This Row],[Verkoopbaar volume (m3)]]*Tabel17[[#This Row],[Verkoopprijs aan retailer per m³]]</f>
        <v>1022</v>
      </c>
      <c r="Z7" s="330"/>
    </row>
    <row r="8" spans="1:27" ht="15" customHeight="1">
      <c r="A8" s="193"/>
      <c r="B8" s="193"/>
      <c r="C8" s="193"/>
      <c r="D8" s="193"/>
      <c r="E8" s="193"/>
      <c r="F8" s="193"/>
      <c r="G8" s="193"/>
      <c r="H8" s="193"/>
      <c r="I8" s="193"/>
      <c r="J8" s="193"/>
      <c r="K8" s="193"/>
      <c r="L8" s="193"/>
      <c r="M8" s="193"/>
      <c r="N8" s="193"/>
      <c r="O8" s="193"/>
      <c r="P8" s="193"/>
      <c r="Q8" s="193"/>
      <c r="R8" s="193"/>
      <c r="S8" s="193"/>
      <c r="T8" s="193"/>
      <c r="U8" s="193"/>
      <c r="V8" s="193"/>
      <c r="W8" s="193"/>
      <c r="X8" s="193"/>
      <c r="Y8" s="193"/>
      <c r="Z8" s="330"/>
    </row>
    <row r="9" spans="1:27" ht="15" customHeight="1">
      <c r="A9" s="40" t="s">
        <v>160</v>
      </c>
      <c r="B9" s="42" t="s">
        <v>161</v>
      </c>
      <c r="C9" s="42" t="s">
        <v>106</v>
      </c>
      <c r="D9" s="42" t="s">
        <v>93</v>
      </c>
      <c r="E9" s="193"/>
      <c r="F9" s="193"/>
      <c r="G9" s="193"/>
      <c r="H9" s="193"/>
      <c r="I9" s="193"/>
      <c r="J9" s="193"/>
      <c r="K9" s="193"/>
      <c r="L9" s="193"/>
      <c r="M9" s="193"/>
      <c r="N9" s="193"/>
      <c r="O9" s="193"/>
      <c r="P9" s="193"/>
      <c r="Q9" s="193"/>
      <c r="R9" s="193"/>
      <c r="S9" s="193"/>
      <c r="T9" s="193"/>
      <c r="U9" s="193"/>
      <c r="V9" s="193"/>
      <c r="W9" s="193"/>
      <c r="X9" s="193"/>
      <c r="Y9" s="193"/>
      <c r="Z9" s="330"/>
    </row>
    <row r="10" spans="1:27" ht="14.55" customHeight="1">
      <c r="A10" s="39" t="s">
        <v>151</v>
      </c>
      <c r="B10" s="145">
        <v>300</v>
      </c>
      <c r="C10" s="47">
        <v>0.85</v>
      </c>
      <c r="D10" s="41">
        <f>Tabel23[[#This Row],[Retailer-inkoopfactor]]*Tabel23[[#This Row],[Retail hergebruik-/recyclingprijs per m³]]</f>
        <v>255</v>
      </c>
      <c r="E10" s="193"/>
      <c r="F10" s="193"/>
      <c r="G10" s="193"/>
      <c r="H10" s="193"/>
      <c r="I10" s="193"/>
      <c r="K10" s="193"/>
      <c r="L10" s="193"/>
      <c r="M10" s="193"/>
      <c r="N10" s="193"/>
      <c r="O10" s="193"/>
      <c r="P10" s="193"/>
      <c r="Q10" s="193"/>
      <c r="R10" s="193"/>
      <c r="S10" s="193"/>
      <c r="T10" s="193"/>
      <c r="U10" s="193"/>
      <c r="V10" s="193"/>
      <c r="W10" s="193"/>
      <c r="X10" s="193"/>
      <c r="Y10" s="193"/>
      <c r="Z10" s="330"/>
    </row>
    <row r="11" spans="1:27" ht="17.399999999999999">
      <c r="A11" s="39" t="s">
        <v>148</v>
      </c>
      <c r="B11" s="145">
        <v>200</v>
      </c>
      <c r="C11" s="47">
        <v>0.75</v>
      </c>
      <c r="D11" s="41">
        <f>Tabel23[[#This Row],[Retailer-inkoopfactor]]*Tabel23[[#This Row],[Retail hergebruik-/recyclingprijs per m³]]</f>
        <v>150</v>
      </c>
      <c r="E11" s="193"/>
      <c r="F11" s="193"/>
      <c r="G11" s="193"/>
      <c r="H11" s="193"/>
      <c r="I11" s="193"/>
      <c r="J11" s="193"/>
      <c r="K11" s="193"/>
      <c r="L11" s="376"/>
      <c r="M11" s="193"/>
      <c r="N11" s="193"/>
      <c r="O11" s="193"/>
      <c r="P11" s="193"/>
      <c r="Q11" s="193"/>
      <c r="R11" s="193"/>
      <c r="S11" s="193"/>
      <c r="T11" s="193"/>
      <c r="U11" s="193"/>
      <c r="V11" s="193"/>
      <c r="W11" s="193"/>
      <c r="X11" s="193"/>
      <c r="Y11" s="193"/>
      <c r="Z11" s="330"/>
    </row>
    <row r="12" spans="1:27" ht="14.55" customHeight="1">
      <c r="A12" s="39" t="s">
        <v>159</v>
      </c>
      <c r="B12" s="145">
        <v>150</v>
      </c>
      <c r="C12" s="47">
        <v>0.6</v>
      </c>
      <c r="D12" s="41">
        <f>Tabel23[[#This Row],[Retailer-inkoopfactor]]*Tabel23[[#This Row],[Retail hergebruik-/recyclingprijs per m³]]</f>
        <v>90</v>
      </c>
      <c r="E12" s="193"/>
      <c r="F12" s="193"/>
      <c r="G12" s="193"/>
      <c r="H12" s="193"/>
      <c r="I12" s="193"/>
      <c r="J12" s="193"/>
      <c r="K12" s="193"/>
      <c r="L12" s="193"/>
      <c r="M12" s="193"/>
      <c r="N12" s="193"/>
      <c r="O12" s="193"/>
      <c r="P12" s="193"/>
      <c r="Q12" s="193"/>
      <c r="R12" s="193"/>
      <c r="S12" s="193"/>
      <c r="T12" s="193"/>
      <c r="U12" s="193"/>
      <c r="V12" s="193"/>
      <c r="W12" s="193"/>
      <c r="X12" s="193"/>
      <c r="Y12" s="193"/>
      <c r="Z12" s="330"/>
    </row>
    <row r="13" spans="1:27" ht="14.55" customHeight="1">
      <c r="A13" s="39" t="s">
        <v>158</v>
      </c>
      <c r="B13" s="145">
        <v>500</v>
      </c>
      <c r="C13" s="47">
        <v>0.7</v>
      </c>
      <c r="D13" s="41">
        <f>Tabel23[[#This Row],[Retailer-inkoopfactor]]*Tabel23[[#This Row],[Retail hergebruik-/recyclingprijs per m³]]</f>
        <v>350</v>
      </c>
      <c r="E13" s="193"/>
      <c r="F13" s="193"/>
      <c r="G13" s="193"/>
      <c r="H13" s="193"/>
      <c r="I13" s="193"/>
      <c r="J13" s="193"/>
      <c r="K13" s="193"/>
      <c r="L13" s="193"/>
      <c r="M13" s="193"/>
      <c r="N13" s="193"/>
      <c r="O13" s="193"/>
      <c r="P13" s="193"/>
      <c r="Q13" s="193"/>
      <c r="R13" s="193"/>
      <c r="S13" s="193"/>
      <c r="T13" s="193"/>
      <c r="U13" s="193"/>
      <c r="V13" s="193"/>
      <c r="W13" s="193"/>
      <c r="X13" s="193"/>
      <c r="Y13" s="193"/>
      <c r="Z13" s="330"/>
    </row>
    <row r="14" spans="1:27" ht="14.5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330"/>
    </row>
    <row r="15" spans="1:27" ht="14.55" hidden="1" customHeight="1">
      <c r="Z15" s="330"/>
    </row>
    <row r="16" spans="1:27" ht="14.55" hidden="1" customHeight="1">
      <c r="Z16" s="330"/>
    </row>
    <row r="17" spans="26:29" ht="14.55" hidden="1" customHeight="1">
      <c r="Z17" s="330"/>
      <c r="AC17" s="336"/>
    </row>
    <row r="18" spans="26:29" ht="14.55" hidden="1" customHeight="1">
      <c r="Z18" s="330"/>
    </row>
    <row r="19" spans="26:29" ht="14.55" hidden="1" customHeight="1">
      <c r="Z19" s="330"/>
    </row>
    <row r="20" spans="26:29" ht="14.55" hidden="1" customHeight="1">
      <c r="Z20" s="330"/>
    </row>
    <row r="21" spans="26:29" ht="14.55" hidden="1" customHeight="1">
      <c r="Z21" s="330"/>
    </row>
  </sheetData>
  <mergeCells count="4">
    <mergeCell ref="A1:D1"/>
    <mergeCell ref="E1:L1"/>
    <mergeCell ref="M1:V1"/>
    <mergeCell ref="W1:Y1"/>
  </mergeCells>
  <phoneticPr fontId="6" type="noConversion"/>
  <conditionalFormatting sqref="I3:I7">
    <cfRule type="colorScale" priority="252">
      <colorScale>
        <cfvo type="min"/>
        <cfvo type="percentile" val="50"/>
        <cfvo type="max"/>
        <color rgb="FFFEE2E2"/>
        <color rgb="FFFEF3C7"/>
        <color rgb="FFDCFCE7"/>
      </colorScale>
    </cfRule>
  </conditionalFormatting>
  <conditionalFormatting sqref="Q3:Q7">
    <cfRule type="colorScale" priority="253">
      <colorScale>
        <cfvo type="min"/>
        <cfvo type="percentile" val="50"/>
        <cfvo type="max"/>
        <color rgb="FFFEE2E2"/>
        <color rgb="FFFEF3C7"/>
        <color rgb="FFDCFCE7"/>
      </colorScale>
    </cfRule>
  </conditionalFormatting>
  <dataValidations count="2">
    <dataValidation type="list" sqref="F3:H3 E3:E7 F4:G7 N3:P7" xr:uid="{00000000-0002-0000-0700-000003000000}">
      <formula1>"1,2,3,4,5"</formula1>
    </dataValidation>
    <dataValidation type="list" sqref="C3 J3:J7" xr:uid="{00000000-0002-0000-0700-000001000000}">
      <formula1>"Staal,Hout,Beton,Aluminium,Koper,Keramiek,Bitumen,Overig"</formula1>
    </dataValidation>
  </dataValidations>
  <pageMargins left="0.7" right="0.7" top="0.75" bottom="0.75" header="0.3" footer="0.3"/>
  <drawing r:id="rId1"/>
  <legacyDrawing r:id="rId2"/>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47C2-37AC-4F8B-AE3D-48BE065C6CEF}">
  <dimension ref="A1:M12"/>
  <sheetViews>
    <sheetView topLeftCell="H1" zoomScale="75" workbookViewId="0">
      <selection activeCell="K1" sqref="K1:K1048576"/>
    </sheetView>
  </sheetViews>
  <sheetFormatPr defaultColWidth="0" defaultRowHeight="14.4" zeroHeight="1"/>
  <cols>
    <col min="1" max="1" width="14.109375" customWidth="1"/>
    <col min="2" max="2" width="33" customWidth="1"/>
    <col min="3" max="3" width="28.77734375" customWidth="1"/>
    <col min="4" max="4" width="40.109375" customWidth="1"/>
    <col min="5" max="5" width="6.109375" style="193" customWidth="1"/>
    <col min="6" max="6" width="27.77734375" customWidth="1"/>
    <col min="7" max="7" width="36.77734375" customWidth="1"/>
    <col min="8" max="8" width="29" customWidth="1"/>
    <col min="9" max="9" width="30.77734375" customWidth="1"/>
    <col min="10" max="10" width="36.44140625" customWidth="1"/>
    <col min="11" max="11" width="8.77734375" style="193" customWidth="1"/>
    <col min="12" max="13" width="0" hidden="1" customWidth="1"/>
    <col min="14" max="16384" width="8.77734375" hidden="1"/>
  </cols>
  <sheetData>
    <row r="1" spans="1:13">
      <c r="A1" s="48" t="s">
        <v>2</v>
      </c>
      <c r="B1" s="48" t="s">
        <v>31</v>
      </c>
      <c r="C1" s="48" t="s">
        <v>110</v>
      </c>
      <c r="D1" s="48" t="s">
        <v>111</v>
      </c>
      <c r="F1" s="189" t="s">
        <v>2</v>
      </c>
      <c r="G1" s="189" t="s">
        <v>112</v>
      </c>
      <c r="H1" s="189" t="s">
        <v>113</v>
      </c>
      <c r="I1" s="189" t="s">
        <v>114</v>
      </c>
      <c r="J1" s="189" t="s">
        <v>115</v>
      </c>
    </row>
    <row r="2" spans="1:13" ht="28.8">
      <c r="A2" s="37" t="s">
        <v>151</v>
      </c>
      <c r="B2" s="38" t="s">
        <v>162</v>
      </c>
      <c r="C2" s="38" t="s">
        <v>163</v>
      </c>
      <c r="D2" s="38" t="s">
        <v>164</v>
      </c>
      <c r="F2" s="191" t="s">
        <v>150</v>
      </c>
      <c r="G2" s="82" t="s">
        <v>165</v>
      </c>
      <c r="H2" s="82" t="s">
        <v>166</v>
      </c>
      <c r="I2" s="82" t="s">
        <v>167</v>
      </c>
      <c r="J2" s="82" t="s">
        <v>168</v>
      </c>
    </row>
    <row r="3" spans="1:13" ht="28.8">
      <c r="A3" s="37" t="s">
        <v>148</v>
      </c>
      <c r="B3" s="38" t="s">
        <v>169</v>
      </c>
      <c r="C3" s="38" t="s">
        <v>170</v>
      </c>
      <c r="D3" s="38" t="s">
        <v>171</v>
      </c>
      <c r="F3" s="191" t="s">
        <v>153</v>
      </c>
      <c r="G3" s="82" t="s">
        <v>172</v>
      </c>
      <c r="H3" s="82" t="s">
        <v>173</v>
      </c>
      <c r="I3" s="82" t="s">
        <v>174</v>
      </c>
      <c r="J3" s="82" t="s">
        <v>175</v>
      </c>
    </row>
    <row r="4" spans="1:13" ht="43.2">
      <c r="A4" s="37" t="s">
        <v>159</v>
      </c>
      <c r="B4" s="38" t="s">
        <v>176</v>
      </c>
      <c r="C4" s="38" t="s">
        <v>177</v>
      </c>
      <c r="D4" s="38" t="s">
        <v>178</v>
      </c>
      <c r="F4" s="191" t="s">
        <v>155</v>
      </c>
      <c r="G4" s="82" t="s">
        <v>179</v>
      </c>
      <c r="H4" s="82" t="s">
        <v>180</v>
      </c>
      <c r="I4" s="82" t="s">
        <v>181</v>
      </c>
      <c r="J4" s="82" t="s">
        <v>182</v>
      </c>
    </row>
    <row r="5" spans="1:13" ht="57.6">
      <c r="A5" s="37" t="s">
        <v>158</v>
      </c>
      <c r="B5" s="38" t="s">
        <v>183</v>
      </c>
      <c r="C5" s="38" t="s">
        <v>138</v>
      </c>
      <c r="D5" s="38" t="s">
        <v>184</v>
      </c>
      <c r="F5" s="191" t="s">
        <v>157</v>
      </c>
      <c r="G5" s="82" t="s">
        <v>185</v>
      </c>
      <c r="H5" s="82" t="s">
        <v>186</v>
      </c>
      <c r="I5" s="82" t="s">
        <v>187</v>
      </c>
      <c r="J5" s="82" t="s">
        <v>188</v>
      </c>
    </row>
    <row r="6" spans="1:13" s="193" customFormat="1"/>
    <row r="7" spans="1:13">
      <c r="A7" s="42" t="s">
        <v>398</v>
      </c>
      <c r="B7" s="40" t="s">
        <v>30</v>
      </c>
      <c r="C7" s="40" t="s">
        <v>378</v>
      </c>
      <c r="D7" s="193"/>
      <c r="F7" s="193"/>
      <c r="G7" s="193"/>
      <c r="H7" s="193"/>
      <c r="I7" s="193"/>
      <c r="J7" s="193"/>
      <c r="L7" s="193"/>
      <c r="M7" s="193"/>
    </row>
    <row r="8" spans="1:13" ht="57.6">
      <c r="A8" s="41" t="s">
        <v>390</v>
      </c>
      <c r="B8" s="39" t="s">
        <v>32</v>
      </c>
      <c r="C8" s="39" t="s">
        <v>391</v>
      </c>
      <c r="D8" s="193"/>
      <c r="F8" s="193"/>
      <c r="G8" s="193"/>
      <c r="H8" s="193"/>
      <c r="I8" s="193"/>
      <c r="J8" s="193"/>
      <c r="L8" s="193"/>
      <c r="M8" s="193"/>
    </row>
    <row r="9" spans="1:13" ht="43.2">
      <c r="A9" s="41" t="s">
        <v>392</v>
      </c>
      <c r="B9" s="39" t="s">
        <v>382</v>
      </c>
      <c r="C9" s="39" t="s">
        <v>393</v>
      </c>
      <c r="D9" s="193"/>
      <c r="F9" s="193"/>
      <c r="G9" s="193"/>
      <c r="H9" s="193"/>
      <c r="I9" s="193"/>
      <c r="J9" s="193"/>
      <c r="L9" s="193"/>
      <c r="M9" s="193"/>
    </row>
    <row r="10" spans="1:13" ht="28.8">
      <c r="A10" s="41" t="s">
        <v>394</v>
      </c>
      <c r="B10" s="39" t="s">
        <v>385</v>
      </c>
      <c r="C10" s="39" t="s">
        <v>395</v>
      </c>
      <c r="D10" s="193"/>
      <c r="F10" s="193"/>
      <c r="G10" s="193"/>
      <c r="H10" s="193"/>
      <c r="I10" s="193"/>
      <c r="J10" s="193"/>
      <c r="L10" s="193"/>
      <c r="M10" s="193"/>
    </row>
    <row r="11" spans="1:13" ht="28.8">
      <c r="A11" s="41" t="s">
        <v>396</v>
      </c>
      <c r="B11" s="39" t="s">
        <v>36</v>
      </c>
      <c r="C11" s="39" t="s">
        <v>397</v>
      </c>
      <c r="D11" s="193"/>
      <c r="F11" s="193"/>
      <c r="G11" s="193"/>
      <c r="H11" s="193"/>
      <c r="I11" s="193"/>
      <c r="J11" s="193"/>
      <c r="L11" s="193"/>
      <c r="M11" s="193"/>
    </row>
    <row r="12" spans="1:13" s="193" customFormat="1"/>
  </sheetData>
  <pageMargins left="0.7" right="0.7" top="0.75" bottom="0.75" header="0.3" footer="0.3"/>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5FE7B-1F6B-458E-ABF3-729A8B788A64}">
  <dimension ref="A1:B11"/>
  <sheetViews>
    <sheetView workbookViewId="0">
      <selection activeCell="K25" sqref="K25"/>
    </sheetView>
  </sheetViews>
  <sheetFormatPr defaultColWidth="8.77734375" defaultRowHeight="14.4"/>
  <cols>
    <col min="1" max="1" width="12.109375" bestFit="1" customWidth="1"/>
    <col min="2" max="2" width="13.109375" customWidth="1"/>
  </cols>
  <sheetData>
    <row r="1" spans="1:2">
      <c r="A1" s="201" t="s">
        <v>144</v>
      </c>
      <c r="B1" s="201" t="s">
        <v>145</v>
      </c>
    </row>
    <row r="2" spans="1:2">
      <c r="A2" s="202" t="s">
        <v>58</v>
      </c>
      <c r="B2" s="202">
        <v>0</v>
      </c>
    </row>
    <row r="3" spans="1:2">
      <c r="A3" s="203" t="s">
        <v>60</v>
      </c>
      <c r="B3" s="203">
        <v>0</v>
      </c>
    </row>
    <row r="4" spans="1:2">
      <c r="A4" s="203" t="s">
        <v>61</v>
      </c>
      <c r="B4" s="203">
        <v>0</v>
      </c>
    </row>
    <row r="5" spans="1:2">
      <c r="A5" s="203" t="s">
        <v>64</v>
      </c>
      <c r="B5" s="203">
        <v>0</v>
      </c>
    </row>
    <row r="6" spans="1:2">
      <c r="A6" s="203" t="s">
        <v>67</v>
      </c>
      <c r="B6" s="203">
        <v>0</v>
      </c>
    </row>
    <row r="7" spans="1:2">
      <c r="A7" s="203" t="s">
        <v>68</v>
      </c>
      <c r="B7" s="203">
        <v>0</v>
      </c>
    </row>
    <row r="8" spans="1:2">
      <c r="A8" s="203" t="s">
        <v>69</v>
      </c>
      <c r="B8" s="203">
        <v>0</v>
      </c>
    </row>
    <row r="9" spans="1:2">
      <c r="A9" s="203" t="s">
        <v>70</v>
      </c>
      <c r="B9" s="203">
        <v>0</v>
      </c>
    </row>
    <row r="10" spans="1:2">
      <c r="A10" s="203" t="s">
        <v>71</v>
      </c>
      <c r="B10" s="203">
        <v>0</v>
      </c>
    </row>
    <row r="11" spans="1:2">
      <c r="A11" s="203" t="s">
        <v>72</v>
      </c>
      <c r="B11" s="203">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sheetPr>
  <dimension ref="A1:Z14"/>
  <sheetViews>
    <sheetView zoomScale="76" zoomScaleNormal="90" workbookViewId="0">
      <selection sqref="A1:XFD1"/>
    </sheetView>
  </sheetViews>
  <sheetFormatPr defaultColWidth="0" defaultRowHeight="14.4"/>
  <cols>
    <col min="1" max="1" width="15" style="193" customWidth="1"/>
    <col min="2" max="2" width="24.77734375" style="193" customWidth="1"/>
    <col min="3" max="3" width="40.77734375" style="193" customWidth="1"/>
    <col min="4" max="4" width="22.109375" style="193" customWidth="1"/>
    <col min="5" max="5" width="18" style="193" customWidth="1"/>
    <col min="6" max="6" width="22.77734375" style="193" bestFit="1" customWidth="1"/>
    <col min="7" max="7" width="20.109375" style="193" bestFit="1" customWidth="1"/>
    <col min="8" max="8" width="15.77734375" style="193" customWidth="1"/>
    <col min="9" max="9" width="28.109375" style="193" customWidth="1"/>
    <col min="10" max="10" width="23.77734375" style="193" customWidth="1"/>
    <col min="11" max="11" width="21.109375" style="193" customWidth="1"/>
    <col min="12" max="13" width="18" style="193" customWidth="1"/>
    <col min="14" max="14" width="15.77734375" style="193" customWidth="1"/>
    <col min="15" max="15" width="15.44140625" style="193" customWidth="1"/>
    <col min="16" max="16" width="18" style="193" customWidth="1"/>
    <col min="17" max="17" width="22" style="193" customWidth="1"/>
    <col min="18" max="18" width="20" style="193" customWidth="1"/>
    <col min="19" max="20" width="18" style="193" customWidth="1"/>
    <col min="21" max="22" width="16" style="193" customWidth="1"/>
    <col min="23" max="23" width="14" style="193" customWidth="1"/>
    <col min="24" max="24" width="35.77734375" style="193" customWidth="1"/>
    <col min="25" max="25" width="36.109375" style="193" bestFit="1" customWidth="1"/>
    <col min="26" max="26" width="8.77734375" style="193" customWidth="1"/>
    <col min="27" max="16384" width="8.77734375" style="193" hidden="1"/>
  </cols>
  <sheetData>
    <row r="1" spans="1:26" customFormat="1" ht="18" thickBot="1">
      <c r="A1" s="355" t="s">
        <v>189</v>
      </c>
      <c r="B1" s="355"/>
      <c r="C1" s="355"/>
      <c r="D1" s="355"/>
      <c r="E1" s="355"/>
      <c r="F1" s="357" t="s">
        <v>76</v>
      </c>
      <c r="G1" s="357"/>
      <c r="H1" s="357"/>
      <c r="I1" s="357"/>
      <c r="J1" s="357"/>
      <c r="K1" s="357"/>
      <c r="L1" s="357"/>
      <c r="M1" s="364" t="s">
        <v>77</v>
      </c>
      <c r="N1" s="364"/>
      <c r="O1" s="364"/>
      <c r="P1" s="364"/>
      <c r="Q1" s="364"/>
      <c r="R1" s="364"/>
      <c r="S1" s="364"/>
      <c r="T1" s="364"/>
      <c r="U1" s="364"/>
      <c r="V1" s="364"/>
      <c r="W1" s="366" t="s">
        <v>78</v>
      </c>
      <c r="X1" s="366"/>
      <c r="Y1" s="366"/>
      <c r="Z1" s="330"/>
    </row>
    <row r="2" spans="1:26" customFormat="1" ht="28.2" customHeight="1" thickBot="1">
      <c r="A2" s="34" t="s">
        <v>79</v>
      </c>
      <c r="B2" s="34" t="s">
        <v>80</v>
      </c>
      <c r="C2" s="116" t="s">
        <v>81</v>
      </c>
      <c r="D2" s="158" t="s">
        <v>82</v>
      </c>
      <c r="E2" s="158" t="s">
        <v>146</v>
      </c>
      <c r="F2" s="158" t="s">
        <v>44</v>
      </c>
      <c r="G2" s="158" t="s">
        <v>45</v>
      </c>
      <c r="H2" s="116" t="s">
        <v>83</v>
      </c>
      <c r="I2" s="116" t="s">
        <v>84</v>
      </c>
      <c r="J2" s="116" t="s">
        <v>47</v>
      </c>
      <c r="K2" s="116" t="s">
        <v>30</v>
      </c>
      <c r="L2" s="117" t="s">
        <v>86</v>
      </c>
      <c r="M2" s="102" t="s">
        <v>87</v>
      </c>
      <c r="N2" s="103" t="s">
        <v>88</v>
      </c>
      <c r="O2" s="103" t="s">
        <v>89</v>
      </c>
      <c r="P2" s="157" t="s">
        <v>374</v>
      </c>
      <c r="Q2" s="157" t="s">
        <v>90</v>
      </c>
      <c r="R2" s="133" t="s">
        <v>147</v>
      </c>
      <c r="S2" s="133" t="s">
        <v>49</v>
      </c>
      <c r="T2" s="133" t="s">
        <v>50</v>
      </c>
      <c r="U2" s="134" t="s">
        <v>59</v>
      </c>
      <c r="V2" s="135" t="s">
        <v>92</v>
      </c>
      <c r="W2" s="40" t="s">
        <v>375</v>
      </c>
      <c r="X2" t="s">
        <v>93</v>
      </c>
      <c r="Y2" t="s">
        <v>55</v>
      </c>
      <c r="Z2" s="193"/>
    </row>
    <row r="3" spans="1:26" customFormat="1" ht="14.7" customHeight="1" thickBot="1">
      <c r="A3" s="6"/>
      <c r="B3" s="6"/>
      <c r="C3" s="6" t="s">
        <v>58</v>
      </c>
      <c r="D3" s="6">
        <f>SUM(D4:D7)</f>
        <v>16</v>
      </c>
      <c r="E3" s="211">
        <f>AVERAGE(E4:E7)</f>
        <v>4</v>
      </c>
      <c r="F3" s="211">
        <f t="shared" ref="F3" si="0">AVERAGE(F4:F7)</f>
        <v>3.25</v>
      </c>
      <c r="G3" s="211">
        <f t="shared" ref="G3" si="1">AVERAGE(G4:G7)</f>
        <v>3.75</v>
      </c>
      <c r="H3" s="212">
        <f>IF(COUNTA(E3:G3)=0,"",AVERAGE(E3:G3))</f>
        <v>3.6666666666666665</v>
      </c>
      <c r="I3" s="213">
        <f>AVERAGE(I4:I7)</f>
        <v>0.73499999999999999</v>
      </c>
      <c r="J3" s="6"/>
      <c r="K3" s="151" t="str">
        <f>IF($K6="A-beton","Hergebruik",IF($K6="C-beton","Recycling",IF($H6&gt;=4,"Hergebruik","Recycling")))</f>
        <v>Recycling</v>
      </c>
      <c r="L3" s="214" t="str">
        <f>IF(I3&gt;=75%,"Hoogwaardig","Laagwaardig")</f>
        <v>Laagwaardig</v>
      </c>
      <c r="M3" s="215">
        <v>300</v>
      </c>
      <c r="N3" s="216">
        <v>200</v>
      </c>
      <c r="O3" s="216">
        <v>200</v>
      </c>
      <c r="P3" s="217">
        <v>4</v>
      </c>
      <c r="Q3" s="156">
        <v>100</v>
      </c>
      <c r="R3" s="218">
        <f>Tabel15[[#This Row],[Volume (m3)]]*Tabel15[[#This Row],[CO2-nieuw (kg)]]+Tabel15[[#This Row],[Volume (m3)]]*Tabel15[[#This Row],[Transport afstand (km)]]*Tabel15[[#This Row],[Transport-impact ]]</f>
        <v>11200</v>
      </c>
      <c r="S3" s="218">
        <f>Tabel15[[#This Row],[Volume (m3)]]*Tabel15[[#This Row],[CO2-Hergebruik (kg)]]+Tabel15[[#This Row],[Volume (m3)]]*Tabel15[[#This Row],[Transport-impact ]]*Tabel15[[#This Row],[Transport afstand (km)]]</f>
        <v>9600</v>
      </c>
      <c r="T3" s="218">
        <f>Tabel15[[#This Row],[Volume (m3)]]*Tabel15[[#This Row],[CO2- recycle (kg)]]+Tabel15[[#This Row],[Volume (m3)]]*Tabel15[[#This Row],[Transport afstand (km)]]*Tabel15[[#This Row],[Transport-impact ]]</f>
        <v>9600</v>
      </c>
      <c r="U3" s="49">
        <f>IF(V3="hergebruik",R3-S3,IF(V3="recycling",T3-S3,""))</f>
        <v>1600</v>
      </c>
      <c r="V3" s="154" t="str">
        <f t="shared" ref="V3:V6" si="2">IF(S3=MIN(R3:T3),"Hergebruik",IF(T3=MIN(R3:T3),"Recycling","Nieuw"))</f>
        <v>Hergebruik</v>
      </c>
      <c r="W3" s="219">
        <f>Tabel15[[#This Row],[Volume (m3)]]*Tabel15[[#This Row],[Geschatte recovery rate (%)]]</f>
        <v>11.76</v>
      </c>
      <c r="X3" s="220">
        <f>IFERROR(VLOOKUP(#REF!,$A$10:$D$13,4,FALSE),0)</f>
        <v>0</v>
      </c>
      <c r="Y3" s="337">
        <f>Tabel15[[#This Row],[Verkoopbaar volume (m3)]]*Tabel15[[#This Row],[Verkoopprijs aan retailer per m³]]</f>
        <v>0</v>
      </c>
      <c r="Z3" s="193"/>
    </row>
    <row r="4" spans="1:26" customFormat="1" ht="15" thickBot="1">
      <c r="A4" s="14">
        <v>1</v>
      </c>
      <c r="B4" s="14" t="s">
        <v>190</v>
      </c>
      <c r="C4" s="14" t="s">
        <v>191</v>
      </c>
      <c r="D4" s="106">
        <v>4</v>
      </c>
      <c r="E4" s="120">
        <v>5</v>
      </c>
      <c r="F4" s="120">
        <v>4</v>
      </c>
      <c r="G4" s="120">
        <v>4</v>
      </c>
      <c r="H4" s="121">
        <f>IF(COUNTA(E4:G4)=0,"",AVERAGE(E4:G4))</f>
        <v>4.333333333333333</v>
      </c>
      <c r="I4" s="122">
        <f>IFERROR(ROUND(Tabel15[[#This Row],[Gem. score]]/5,2),0)</f>
        <v>0.87</v>
      </c>
      <c r="J4" s="12" t="str">
        <f t="shared" ref="J4:J5" si="3">IF(F4="","",IF(F4&gt;=4,"A-Beton",IF(F4&gt;=2.75,"B-Beton","C-Beton")))</f>
        <v>A-Beton</v>
      </c>
      <c r="K4" s="151" t="str">
        <f>IF($K6="A-beton","Hergebruik",IF($K6="C-beton","Recycling",IF($H6&gt;=4,"Hergebruik","Recycling")))</f>
        <v>Recycling</v>
      </c>
      <c r="L4" s="176" t="str">
        <f>IF(I4&gt;=75%,"Hoogwaardig","Laagwaardig")</f>
        <v>Hoogwaardig</v>
      </c>
      <c r="M4" s="118">
        <v>300</v>
      </c>
      <c r="N4" s="14">
        <v>200</v>
      </c>
      <c r="O4" s="14">
        <v>200</v>
      </c>
      <c r="P4" s="136">
        <v>4</v>
      </c>
      <c r="Q4" s="156">
        <v>20</v>
      </c>
      <c r="R4" s="119">
        <f>Tabel15[[#This Row],[Volume (m3)]]*Tabel15[[#This Row],[CO2-nieuw (kg)]]+Tabel15[[#This Row],[Volume (m3)]]*Tabel15[[#This Row],[Transport afstand (km)]]*Tabel15[[#This Row],[Transport-impact ]]</f>
        <v>1520</v>
      </c>
      <c r="S4" s="119">
        <f>Tabel15[[#This Row],[Volume (m3)]]*Tabel15[[#This Row],[CO2-Hergebruik (kg)]]+Tabel15[[#This Row],[Volume (m3)]]*Tabel15[[#This Row],[Transport-impact ]]*Tabel15[[#This Row],[Transport afstand (km)]]</f>
        <v>1120</v>
      </c>
      <c r="T4" s="119">
        <f>Tabel15[[#This Row],[Volume (m3)]]*Tabel15[[#This Row],[CO2- recycle (kg)]]+Tabel15[[#This Row],[Volume (m3)]]*Tabel15[[#This Row],[Transport afstand (km)]]*Tabel15[[#This Row],[Transport-impact ]]</f>
        <v>1120</v>
      </c>
      <c r="U4" s="49">
        <f>IF(V4="hergebruik",R4-S4,IF(V4="recycling",T4-S4,""))</f>
        <v>400</v>
      </c>
      <c r="V4" s="111" t="str">
        <f t="shared" si="2"/>
        <v>Hergebruik</v>
      </c>
      <c r="W4" s="132">
        <f>Tabel15[[#This Row],[Volume (m3)]]*Tabel15[[#This Row],[Geschatte recovery rate (%)]]</f>
        <v>3.48</v>
      </c>
      <c r="X4" s="123">
        <f>IFERROR(VLOOKUP(#REF!,$A$10:$D$13,4,FALSE),0)</f>
        <v>0</v>
      </c>
      <c r="Y4" s="338">
        <f>Tabel15[[#This Row],[Verkoopbaar volume (m3)]]*Tabel15[[#This Row],[Verkoopprijs aan retailer per m³]]</f>
        <v>0</v>
      </c>
      <c r="Z4" s="193"/>
    </row>
    <row r="5" spans="1:26" customFormat="1" ht="15" thickBot="1">
      <c r="A5" s="14">
        <v>2</v>
      </c>
      <c r="B5" s="14" t="s">
        <v>193</v>
      </c>
      <c r="C5" s="221" t="s">
        <v>194</v>
      </c>
      <c r="D5" s="106">
        <v>4</v>
      </c>
      <c r="E5" s="120">
        <v>5</v>
      </c>
      <c r="F5" s="120">
        <v>3</v>
      </c>
      <c r="G5" s="120">
        <v>4</v>
      </c>
      <c r="H5" s="121">
        <f>IF(COUNTA(E5:G5)=0,"",AVERAGE(E5:G5))</f>
        <v>4</v>
      </c>
      <c r="I5" s="122">
        <f>IFERROR(ROUND(Tabel15[[#This Row],[Gem. score]]/5,2),0)</f>
        <v>0.8</v>
      </c>
      <c r="J5" s="12" t="str">
        <f t="shared" si="3"/>
        <v>B-Beton</v>
      </c>
      <c r="K5" s="151" t="str">
        <f>IF(OR($J5="",$J5="Totaal",$J5="Handmatig beoordelen"),"Handmatig beoordelen",IF($J5="A-beton","Hergebruik",IF($J5="C-beton","Recycling",IF($J5&gt;=4,"Hergebruik","Recycling"))))</f>
        <v>Hergebruik</v>
      </c>
      <c r="L5" s="176" t="str">
        <f>IF(I5&gt;=75%,"Hoogwaardig","Laagwaardig")</f>
        <v>Hoogwaardig</v>
      </c>
      <c r="M5" s="118">
        <v>300</v>
      </c>
      <c r="N5" s="14">
        <v>200</v>
      </c>
      <c r="O5" s="14">
        <v>200</v>
      </c>
      <c r="P5" s="136">
        <v>4</v>
      </c>
      <c r="Q5" s="156">
        <v>20</v>
      </c>
      <c r="R5" s="119">
        <f>Tabel15[[#This Row],[Volume (m3)]]*Tabel15[[#This Row],[CO2-nieuw (kg)]]+Tabel15[[#This Row],[Volume (m3)]]*Tabel15[[#This Row],[Transport afstand (km)]]*Tabel15[[#This Row],[Transport-impact ]]</f>
        <v>1520</v>
      </c>
      <c r="S5" s="119">
        <f>Tabel15[[#This Row],[Volume (m3)]]*Tabel15[[#This Row],[CO2-Hergebruik (kg)]]+Tabel15[[#This Row],[Volume (m3)]]*Tabel15[[#This Row],[Transport-impact ]]*Tabel15[[#This Row],[Transport afstand (km)]]</f>
        <v>1120</v>
      </c>
      <c r="T5" s="119">
        <f>Tabel15[[#This Row],[Volume (m3)]]*Tabel15[[#This Row],[CO2- recycle (kg)]]+Tabel15[[#This Row],[Volume (m3)]]*Tabel15[[#This Row],[Transport afstand (km)]]*Tabel15[[#This Row],[Transport-impact ]]</f>
        <v>1120</v>
      </c>
      <c r="U5" s="49">
        <f>IF(V5="hergebruik",R5-S5,IF(V5="recycling",T5-S5,""))</f>
        <v>400</v>
      </c>
      <c r="V5" s="111" t="str">
        <f t="shared" si="2"/>
        <v>Hergebruik</v>
      </c>
      <c r="W5" s="132">
        <f>Tabel15[[#This Row],[Volume (m3)]]*Tabel15[[#This Row],[Geschatte recovery rate (%)]]</f>
        <v>3.2</v>
      </c>
      <c r="X5" s="123">
        <f>IFERROR(VLOOKUP(#REF!,$A$10:$D$13,4,FALSE),0)</f>
        <v>0</v>
      </c>
      <c r="Y5" s="338">
        <f>Tabel15[[#This Row],[Verkoopbaar volume (m3)]]*Tabel15[[#This Row],[Verkoopprijs aan retailer per m³]]</f>
        <v>0</v>
      </c>
      <c r="Z5" s="193"/>
    </row>
    <row r="6" spans="1:26" customFormat="1" ht="14.7" customHeight="1">
      <c r="A6" s="14">
        <v>3</v>
      </c>
      <c r="B6" s="14" t="s">
        <v>196</v>
      </c>
      <c r="C6" s="14" t="s">
        <v>197</v>
      </c>
      <c r="D6" s="106">
        <v>4</v>
      </c>
      <c r="E6" s="120">
        <v>1</v>
      </c>
      <c r="F6" s="120">
        <v>2</v>
      </c>
      <c r="G6" s="120">
        <v>3</v>
      </c>
      <c r="H6" s="121">
        <f>IF(COUNTA(E6:G6)=0,"",AVERAGE(E6:G6))</f>
        <v>2</v>
      </c>
      <c r="I6" s="122">
        <f>IFERROR(ROUND(Tabel15[[#This Row],[Gem. score]]/5,2),0)</f>
        <v>0.4</v>
      </c>
      <c r="J6" s="12" t="str">
        <f>IF(F6="","",IF(F6&gt;=4,"A-Beton",IF(F6&gt;=2.75,"B-Beton","C-Beton")))</f>
        <v>C-Beton</v>
      </c>
      <c r="K6" s="151" t="str">
        <f t="shared" ref="K6:K7" si="4">IF(OR($J6="",$J6="Totaal",$J6="Handmatig beoordelen"),"Handmatig beoordelen",IF($J6="A-beton","Hergebruik",IF($J6="C-beton","Recycling",IF($J6&gt;=4,"Hergebruik","Recycling"))))</f>
        <v>Recycling</v>
      </c>
      <c r="L6" s="176" t="str">
        <f>IF(I6&gt;=75%,"Hoogwaardig","Laagwaardig")</f>
        <v>Laagwaardig</v>
      </c>
      <c r="M6" s="118">
        <v>300</v>
      </c>
      <c r="N6" s="14">
        <v>200</v>
      </c>
      <c r="O6" s="14">
        <v>200</v>
      </c>
      <c r="P6" s="136">
        <v>4</v>
      </c>
      <c r="Q6" s="156">
        <v>20</v>
      </c>
      <c r="R6" s="119">
        <f>Tabel15[[#This Row],[Volume (m3)]]*Tabel15[[#This Row],[CO2-nieuw (kg)]]+Tabel15[[#This Row],[Volume (m3)]]*Tabel15[[#This Row],[Transport afstand (km)]]*Tabel15[[#This Row],[Transport-impact ]]</f>
        <v>1520</v>
      </c>
      <c r="S6" s="119">
        <f>Tabel15[[#This Row],[Volume (m3)]]*Tabel15[[#This Row],[CO2-Hergebruik (kg)]]+Tabel15[[#This Row],[Volume (m3)]]*Tabel15[[#This Row],[Transport-impact ]]*Tabel15[[#This Row],[Transport afstand (km)]]</f>
        <v>1120</v>
      </c>
      <c r="T6" s="119">
        <f>Tabel15[[#This Row],[Volume (m3)]]*Tabel15[[#This Row],[CO2- recycle (kg)]]+Tabel15[[#This Row],[Volume (m3)]]*Tabel15[[#This Row],[Transport afstand (km)]]*Tabel15[[#This Row],[Transport-impact ]]</f>
        <v>1120</v>
      </c>
      <c r="U6" s="49">
        <f>IF(V6="hergebruik",R6-S6,IF(V6="recycling",T6-S6,""))</f>
        <v>400</v>
      </c>
      <c r="V6" s="111" t="str">
        <f t="shared" si="2"/>
        <v>Hergebruik</v>
      </c>
      <c r="W6" s="132">
        <f>Tabel15[[#This Row],[Volume (m3)]]*Tabel15[[#This Row],[Geschatte recovery rate (%)]]</f>
        <v>1.6</v>
      </c>
      <c r="X6" s="123">
        <f>IFERROR(VLOOKUP(#REF!,$A$10:$D$13,4,FALSE),0)</f>
        <v>0</v>
      </c>
      <c r="Y6" s="338">
        <f>Tabel15[[#This Row],[Verkoopbaar volume (m3)]]*Tabel15[[#This Row],[Verkoopprijs aan retailer per m³]]</f>
        <v>0</v>
      </c>
      <c r="Z6" s="193"/>
    </row>
    <row r="7" spans="1:26" customFormat="1" ht="29.4" thickBot="1">
      <c r="A7" s="14">
        <v>4</v>
      </c>
      <c r="B7" s="14" t="s">
        <v>199</v>
      </c>
      <c r="C7" s="14" t="s">
        <v>200</v>
      </c>
      <c r="D7" s="106">
        <v>4</v>
      </c>
      <c r="E7" s="125">
        <v>5</v>
      </c>
      <c r="F7" s="125">
        <v>4</v>
      </c>
      <c r="G7" s="125">
        <v>4</v>
      </c>
      <c r="H7" s="121">
        <f>IF(COUNTA(E7:G7)=0,"",AVERAGE(E7:G7))</f>
        <v>4.333333333333333</v>
      </c>
      <c r="I7" s="122">
        <f>IFERROR(ROUND(Tabel15[[#This Row],[Gem. score]]/5,2),0)</f>
        <v>0.87</v>
      </c>
      <c r="J7" s="12" t="str">
        <f>IF(F7="","",IF(F7&gt;=4,"A-Beton",IF(F7&gt;=2.75,"B-Beton","C-Beton")))</f>
        <v>A-Beton</v>
      </c>
      <c r="K7" s="151" t="str">
        <f t="shared" si="4"/>
        <v>Hergebruik</v>
      </c>
      <c r="L7" s="126"/>
      <c r="M7" s="127"/>
      <c r="N7" s="128"/>
      <c r="O7" s="128"/>
      <c r="P7" s="128"/>
      <c r="Q7" s="128"/>
      <c r="R7" s="128">
        <f>Tabel15[[#This Row],[Volume (m3)]]*Tabel15[[#This Row],[CO2-nieuw (kg)]]+Tabel15[[#This Row],[Volume (m3)]]*Tabel15[[#This Row],[Transport afstand (km)]]*Tabel15[[#This Row],[Transport-impact ]]</f>
        <v>0</v>
      </c>
      <c r="S7" s="129">
        <f>Tabel15[[#This Row],[Volume (m3)]]*Tabel15[[#This Row],[CO2-Hergebruik (kg)]]+Tabel15[[#This Row],[Volume (m3)]]*Tabel15[[#This Row],[Transport-impact ]]*Tabel15[[#This Row],[Transport afstand (km)]]</f>
        <v>0</v>
      </c>
      <c r="T7" s="128">
        <f>Tabel15[[#This Row],[Volume (m3)]]*Tabel15[[#This Row],[CO2- recycle (kg)]]+Tabel15[[#This Row],[Volume (m3)]]*Tabel15[[#This Row],[Transport afstand (km)]]*Tabel15[[#This Row],[Transport-impact ]]</f>
        <v>0</v>
      </c>
      <c r="U7" s="49" t="str">
        <f>IF(V7="hergebruik",R7-S7,IF(V7="recycling",T7-S7,""))</f>
        <v/>
      </c>
      <c r="V7" s="155"/>
      <c r="W7" s="132">
        <f>Tabel15[[#This Row],[Volume (m3)]]*Tabel15[[#This Row],[Geschatte recovery rate (%)]]</f>
        <v>3.48</v>
      </c>
      <c r="X7" s="123">
        <f>IFERROR(VLOOKUP(#REF!,$A$10:$D$13,4,FALSE),0)</f>
        <v>0</v>
      </c>
      <c r="Y7" s="338">
        <f>Tabel15[[#This Row],[Verkoopbaar volume (m3)]]*Tabel15[[#This Row],[Verkoopprijs aan retailer per m³]]</f>
        <v>0</v>
      </c>
      <c r="Z7" s="193"/>
    </row>
    <row r="9" spans="1:26" ht="28.8">
      <c r="A9" s="130" t="s">
        <v>202</v>
      </c>
      <c r="B9" s="41" t="s">
        <v>203</v>
      </c>
      <c r="C9" s="41" t="s">
        <v>204</v>
      </c>
      <c r="D9" s="41" t="s">
        <v>205</v>
      </c>
    </row>
    <row r="10" spans="1:26">
      <c r="A10" s="39" t="s">
        <v>192</v>
      </c>
      <c r="B10" s="61">
        <v>15</v>
      </c>
      <c r="C10" s="47">
        <v>-0.1</v>
      </c>
      <c r="D10" s="61">
        <f>Tabel28[[#This Row],[Richtprijs granulaat / acceptatiebasis per m³]]*Tabel28[[#This Row],[Verwerker-/inkoopfactor]]</f>
        <v>-1.5</v>
      </c>
    </row>
    <row r="11" spans="1:26">
      <c r="A11" s="39" t="s">
        <v>195</v>
      </c>
      <c r="B11" s="61">
        <v>15</v>
      </c>
      <c r="C11" s="47">
        <v>-0.5</v>
      </c>
      <c r="D11" s="61">
        <f>Tabel28[[#This Row],[Richtprijs granulaat / acceptatiebasis per m³]]*Tabel28[[#This Row],[Verwerker-/inkoopfactor]]</f>
        <v>-7.5</v>
      </c>
    </row>
    <row r="12" spans="1:26" ht="15.6">
      <c r="A12" s="39" t="s">
        <v>198</v>
      </c>
      <c r="B12" s="61">
        <v>15</v>
      </c>
      <c r="C12" s="47">
        <v>-1.5</v>
      </c>
      <c r="D12" s="61">
        <f>Tabel28[[#This Row],[Richtprijs granulaat / acceptatiebasis per m³]]*Tabel28[[#This Row],[Verwerker-/inkoopfactor]]</f>
        <v>-22.5</v>
      </c>
      <c r="L12" s="327"/>
    </row>
    <row r="13" spans="1:26">
      <c r="A13" s="39" t="s">
        <v>201</v>
      </c>
      <c r="B13" s="61">
        <v>25</v>
      </c>
      <c r="C13" s="47">
        <v>0</v>
      </c>
      <c r="D13" s="61">
        <f>Tabel28[[#This Row],[Richtprijs granulaat / acceptatiebasis per m³]]*Tabel28[[#This Row],[Verwerker-/inkoopfactor]]</f>
        <v>0</v>
      </c>
    </row>
    <row r="14" spans="1:26" ht="15.6">
      <c r="L14" s="328"/>
    </row>
  </sheetData>
  <mergeCells count="4">
    <mergeCell ref="A1:E1"/>
    <mergeCell ref="M1:V1"/>
    <mergeCell ref="W1:Y1"/>
    <mergeCell ref="F1:L1"/>
  </mergeCells>
  <conditionalFormatting sqref="I3:I7">
    <cfRule type="colorScale" priority="5">
      <colorScale>
        <cfvo type="min"/>
        <cfvo type="percentile" val="50"/>
        <cfvo type="max"/>
        <color rgb="FFFEE2E2"/>
        <color rgb="FFFEF3C7"/>
        <color rgb="FFDCFCE7"/>
      </colorScale>
    </cfRule>
  </conditionalFormatting>
  <conditionalFormatting sqref="Q3:Q6">
    <cfRule type="colorScale" priority="1">
      <colorScale>
        <cfvo type="min"/>
        <cfvo type="percentile" val="50"/>
        <cfvo type="max"/>
        <color rgb="FFFEE2E2"/>
        <color rgb="FFFEF3C7"/>
        <color rgb="FFDCFCE7"/>
      </colorScale>
    </cfRule>
  </conditionalFormatting>
  <dataValidations disablePrompts="1" count="3">
    <dataValidation type="list" sqref="C5 C3 V7 L7:R7 T7 E7:G7 J3" xr:uid="{00000000-0002-0000-0500-000001000000}">
      <formula1>"Staal,Hout,Beton,Aluminium,Koper,Keramiek,Bitumen,Overig"</formula1>
    </dataValidation>
    <dataValidation type="list" sqref="N3:P6" xr:uid="{00000000-0002-0000-0500-000003000000}">
      <formula1>"1,2,3,4,5"</formula1>
    </dataValidation>
    <dataValidation type="decimal" sqref="E3:G3" xr:uid="{00000000-0002-0000-0500-000004000000}">
      <formula1>0</formula1>
      <formula2>1</formula2>
    </dataValidation>
  </dataValidations>
  <pageMargins left="0.7" right="0.7" top="0.75" bottom="0.75" header="0.3" footer="0.3"/>
  <pageSetup paperSize="9" orientation="portrait" r:id="rId1"/>
  <drawing r:id="rId2"/>
  <legacyDrawing r:id="rId3"/>
  <tableParts count="2">
    <tablePart r:id="rId4"/>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8532-2EF7-48E7-915D-B1C6ECCCE314}">
  <dimension ref="A1:L12"/>
  <sheetViews>
    <sheetView zoomScale="67" workbookViewId="0">
      <selection activeCell="J7" sqref="J7"/>
    </sheetView>
  </sheetViews>
  <sheetFormatPr defaultColWidth="0" defaultRowHeight="14.4" zeroHeight="1"/>
  <cols>
    <col min="1" max="1" width="22.77734375" customWidth="1"/>
    <col min="2" max="2" width="40.109375" customWidth="1"/>
    <col min="3" max="3" width="46.109375" customWidth="1"/>
    <col min="4" max="4" width="35.109375" customWidth="1"/>
    <col min="5" max="5" width="6.77734375" style="193" customWidth="1"/>
    <col min="6" max="6" width="29.109375" customWidth="1"/>
    <col min="7" max="7" width="43.44140625" customWidth="1"/>
    <col min="8" max="8" width="42.44140625" customWidth="1"/>
    <col min="9" max="9" width="27" customWidth="1"/>
    <col min="10" max="10" width="29.109375" customWidth="1"/>
    <col min="11" max="11" width="8.77734375" style="193" customWidth="1"/>
    <col min="12" max="12" width="0" hidden="1" customWidth="1"/>
    <col min="13" max="16384" width="8.77734375" hidden="1"/>
  </cols>
  <sheetData>
    <row r="1" spans="1:12">
      <c r="A1" s="48" t="s">
        <v>2</v>
      </c>
      <c r="B1" s="48" t="s">
        <v>31</v>
      </c>
      <c r="C1" s="48" t="s">
        <v>110</v>
      </c>
      <c r="D1" s="48" t="s">
        <v>111</v>
      </c>
      <c r="E1" s="339"/>
      <c r="F1" s="189" t="s">
        <v>2</v>
      </c>
      <c r="G1" s="189" t="s">
        <v>112</v>
      </c>
      <c r="H1" s="189" t="s">
        <v>113</v>
      </c>
      <c r="I1" s="189" t="s">
        <v>114</v>
      </c>
      <c r="J1" s="189" t="s">
        <v>115</v>
      </c>
    </row>
    <row r="2" spans="1:12" ht="43.2">
      <c r="A2" s="192" t="s">
        <v>192</v>
      </c>
      <c r="B2" s="67" t="s">
        <v>206</v>
      </c>
      <c r="C2" s="67" t="s">
        <v>207</v>
      </c>
      <c r="D2" s="67" t="s">
        <v>208</v>
      </c>
      <c r="F2" s="191" t="s">
        <v>191</v>
      </c>
      <c r="G2" s="82" t="s">
        <v>209</v>
      </c>
      <c r="H2" s="82" t="s">
        <v>210</v>
      </c>
      <c r="I2" s="82" t="s">
        <v>211</v>
      </c>
      <c r="J2" s="82" t="s">
        <v>212</v>
      </c>
    </row>
    <row r="3" spans="1:12" ht="43.2">
      <c r="A3" s="192" t="s">
        <v>195</v>
      </c>
      <c r="B3" s="67" t="s">
        <v>213</v>
      </c>
      <c r="C3" s="67" t="s">
        <v>214</v>
      </c>
      <c r="D3" s="67" t="s">
        <v>215</v>
      </c>
      <c r="F3" s="191" t="s">
        <v>194</v>
      </c>
      <c r="G3" s="82" t="s">
        <v>216</v>
      </c>
      <c r="H3" s="82" t="s">
        <v>217</v>
      </c>
      <c r="I3" s="82" t="s">
        <v>218</v>
      </c>
      <c r="J3" s="82" t="s">
        <v>219</v>
      </c>
    </row>
    <row r="4" spans="1:12" ht="43.2">
      <c r="A4" s="192" t="s">
        <v>198</v>
      </c>
      <c r="B4" s="67" t="s">
        <v>220</v>
      </c>
      <c r="C4" s="67" t="s">
        <v>221</v>
      </c>
      <c r="D4" s="67" t="s">
        <v>222</v>
      </c>
      <c r="F4" s="191" t="s">
        <v>197</v>
      </c>
      <c r="G4" s="82" t="s">
        <v>223</v>
      </c>
      <c r="H4" s="82" t="s">
        <v>224</v>
      </c>
      <c r="I4" s="82" t="s">
        <v>225</v>
      </c>
      <c r="J4" s="82" t="s">
        <v>226</v>
      </c>
    </row>
    <row r="5" spans="1:12" ht="43.2">
      <c r="A5" s="192" t="s">
        <v>201</v>
      </c>
      <c r="B5" s="67" t="s">
        <v>227</v>
      </c>
      <c r="C5" s="67" t="s">
        <v>228</v>
      </c>
      <c r="D5" s="67" t="s">
        <v>229</v>
      </c>
      <c r="F5" s="191" t="s">
        <v>200</v>
      </c>
      <c r="G5" s="82" t="s">
        <v>230</v>
      </c>
      <c r="H5" s="82" t="s">
        <v>231</v>
      </c>
      <c r="I5" s="82" t="s">
        <v>232</v>
      </c>
      <c r="J5" s="82" t="s">
        <v>233</v>
      </c>
    </row>
    <row r="6" spans="1:12" s="193" customFormat="1"/>
    <row r="7" spans="1:12">
      <c r="A7" s="42" t="s">
        <v>46</v>
      </c>
      <c r="B7" s="40" t="s">
        <v>30</v>
      </c>
      <c r="C7" s="40" t="s">
        <v>407</v>
      </c>
      <c r="D7" s="193"/>
      <c r="F7" s="193"/>
      <c r="G7" s="193"/>
      <c r="H7" s="193"/>
      <c r="I7" s="193"/>
      <c r="J7" s="193"/>
      <c r="L7" s="193"/>
    </row>
    <row r="8" spans="1:12" ht="57.6">
      <c r="A8" s="42" t="s">
        <v>408</v>
      </c>
      <c r="B8" s="209" t="s">
        <v>32</v>
      </c>
      <c r="C8" s="39" t="s">
        <v>409</v>
      </c>
      <c r="D8" s="193"/>
      <c r="F8" s="193"/>
      <c r="G8" s="193"/>
      <c r="H8" s="193"/>
      <c r="I8" s="193"/>
      <c r="J8" s="193"/>
      <c r="L8" s="193"/>
    </row>
    <row r="9" spans="1:12" ht="43.2">
      <c r="A9" s="42" t="s">
        <v>410</v>
      </c>
      <c r="B9" s="209" t="s">
        <v>382</v>
      </c>
      <c r="C9" s="39" t="s">
        <v>411</v>
      </c>
      <c r="D9" s="193"/>
      <c r="F9" s="193"/>
      <c r="G9" s="193"/>
      <c r="H9" s="193"/>
      <c r="I9" s="193"/>
      <c r="J9" s="193"/>
      <c r="L9" s="193"/>
    </row>
    <row r="10" spans="1:12" ht="28.8">
      <c r="A10" s="42" t="s">
        <v>412</v>
      </c>
      <c r="B10" s="209" t="s">
        <v>385</v>
      </c>
      <c r="C10" s="39" t="s">
        <v>413</v>
      </c>
      <c r="D10" s="193"/>
      <c r="F10" s="193"/>
      <c r="G10" s="193"/>
      <c r="H10" s="193"/>
      <c r="I10" s="193"/>
      <c r="J10" s="193"/>
      <c r="L10" s="193"/>
    </row>
    <row r="11" spans="1:12" ht="28.8">
      <c r="A11" s="42" t="s">
        <v>414</v>
      </c>
      <c r="B11" s="209" t="s">
        <v>36</v>
      </c>
      <c r="C11" s="39" t="s">
        <v>415</v>
      </c>
      <c r="D11" s="193"/>
      <c r="F11" s="193"/>
      <c r="G11" s="193"/>
      <c r="H11" s="193"/>
      <c r="I11" s="193"/>
      <c r="J11" s="193"/>
      <c r="L11" s="193"/>
    </row>
    <row r="12" spans="1:12" s="193" customFormat="1"/>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BC2F-9F20-4282-B37F-1A9C48917B5D}">
  <dimension ref="A1:B11"/>
  <sheetViews>
    <sheetView workbookViewId="0">
      <selection activeCell="L24" sqref="L24"/>
    </sheetView>
  </sheetViews>
  <sheetFormatPr defaultColWidth="8.77734375" defaultRowHeight="14.4"/>
  <cols>
    <col min="1" max="1" width="12.109375" bestFit="1" customWidth="1"/>
    <col min="2" max="2" width="13.109375" customWidth="1"/>
  </cols>
  <sheetData>
    <row r="1" spans="1:2">
      <c r="A1" s="201" t="s">
        <v>144</v>
      </c>
      <c r="B1" s="201" t="s">
        <v>145</v>
      </c>
    </row>
    <row r="2" spans="1:2">
      <c r="A2" s="202" t="s">
        <v>58</v>
      </c>
      <c r="B2" s="202">
        <v>476.8</v>
      </c>
    </row>
    <row r="3" spans="1:2">
      <c r="A3" s="203" t="s">
        <v>60</v>
      </c>
      <c r="B3" s="203">
        <v>0</v>
      </c>
    </row>
    <row r="4" spans="1:2">
      <c r="A4" s="203" t="s">
        <v>61</v>
      </c>
      <c r="B4" s="203">
        <v>0</v>
      </c>
    </row>
    <row r="5" spans="1:2">
      <c r="A5" s="203" t="s">
        <v>64</v>
      </c>
      <c r="B5" s="203">
        <v>0</v>
      </c>
    </row>
    <row r="6" spans="1:2">
      <c r="A6" s="203" t="s">
        <v>67</v>
      </c>
      <c r="B6" s="203">
        <v>0</v>
      </c>
    </row>
    <row r="7" spans="1:2">
      <c r="A7" s="203" t="s">
        <v>68</v>
      </c>
      <c r="B7" s="203">
        <v>115.94</v>
      </c>
    </row>
    <row r="8" spans="1:2">
      <c r="A8" s="203" t="s">
        <v>69</v>
      </c>
      <c r="B8" s="203">
        <v>6.58</v>
      </c>
    </row>
    <row r="9" spans="1:2">
      <c r="A9" s="203" t="s">
        <v>70</v>
      </c>
      <c r="B9" s="203">
        <v>354.28</v>
      </c>
    </row>
    <row r="10" spans="1:2">
      <c r="A10" s="203" t="s">
        <v>71</v>
      </c>
      <c r="B10" s="203">
        <v>0</v>
      </c>
    </row>
    <row r="11" spans="1:2">
      <c r="A11" s="203" t="s">
        <v>72</v>
      </c>
      <c r="B11" s="203">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AY14"/>
  <sheetViews>
    <sheetView zoomScale="80" zoomScaleNormal="80" workbookViewId="0">
      <selection activeCell="J16" sqref="J16"/>
    </sheetView>
  </sheetViews>
  <sheetFormatPr defaultColWidth="0" defaultRowHeight="15" customHeight="1"/>
  <cols>
    <col min="1" max="1" width="16.77734375" style="193" customWidth="1"/>
    <col min="2" max="2" width="26" style="193" customWidth="1"/>
    <col min="3" max="3" width="28" style="193" customWidth="1"/>
    <col min="4" max="4" width="37" style="193" customWidth="1"/>
    <col min="5" max="5" width="22.44140625" style="193" customWidth="1"/>
    <col min="6" max="6" width="20.77734375" style="193" customWidth="1"/>
    <col min="7" max="7" width="20.44140625" style="193" customWidth="1"/>
    <col min="8" max="8" width="25.77734375" style="193" customWidth="1"/>
    <col min="9" max="9" width="18" style="193" customWidth="1"/>
    <col min="10" max="10" width="19" style="193" bestFit="1" customWidth="1"/>
    <col min="11" max="11" width="18.109375" style="193" customWidth="1"/>
    <col min="12" max="12" width="18" style="193" customWidth="1"/>
    <col min="13" max="13" width="23.77734375" style="193" customWidth="1"/>
    <col min="14" max="14" width="19.77734375" style="193" customWidth="1"/>
    <col min="15" max="15" width="18" style="193" customWidth="1"/>
    <col min="16" max="16" width="21.109375" style="193" bestFit="1" customWidth="1"/>
    <col min="17" max="17" width="25.77734375" style="193" customWidth="1"/>
    <col min="18" max="18" width="24.109375" style="193" bestFit="1" customWidth="1"/>
    <col min="19" max="19" width="24.44140625" style="193" bestFit="1" customWidth="1"/>
    <col min="20" max="20" width="23.109375" style="193" bestFit="1" customWidth="1"/>
    <col min="21" max="21" width="28.88671875" style="193" customWidth="1"/>
    <col min="22" max="22" width="18.77734375" style="193" bestFit="1" customWidth="1"/>
    <col min="23" max="23" width="18.109375" style="193" customWidth="1"/>
    <col min="24" max="24" width="24.109375" style="193" bestFit="1" customWidth="1"/>
    <col min="25" max="25" width="29.5546875" style="193" customWidth="1"/>
    <col min="26" max="26" width="34.109375" style="193" customWidth="1"/>
    <col min="27" max="27" width="4.77734375" style="193" customWidth="1"/>
    <col min="28" max="28" width="8.77734375" style="193" hidden="1" customWidth="1"/>
    <col min="29" max="51" width="0" style="193" hidden="1" customWidth="1"/>
    <col min="52" max="16384" width="8.77734375" style="193" hidden="1"/>
  </cols>
  <sheetData>
    <row r="1" spans="1:51" customFormat="1" ht="18" thickBot="1">
      <c r="A1" s="355" t="s">
        <v>189</v>
      </c>
      <c r="B1" s="355"/>
      <c r="C1" s="355"/>
      <c r="D1" s="355"/>
      <c r="E1" s="355"/>
      <c r="F1" s="357" t="s">
        <v>76</v>
      </c>
      <c r="G1" s="357"/>
      <c r="H1" s="357"/>
      <c r="I1" s="357"/>
      <c r="J1" s="357"/>
      <c r="K1" s="357"/>
      <c r="L1" s="357"/>
      <c r="M1" s="364" t="s">
        <v>77</v>
      </c>
      <c r="N1" s="364"/>
      <c r="O1" s="364"/>
      <c r="P1" s="364"/>
      <c r="Q1" s="364"/>
      <c r="R1" s="364"/>
      <c r="S1" s="364"/>
      <c r="T1" s="364"/>
      <c r="U1" s="364"/>
      <c r="V1" s="364"/>
      <c r="W1" s="366" t="s">
        <v>78</v>
      </c>
      <c r="X1" s="366"/>
      <c r="Y1" s="366"/>
      <c r="Z1" s="330"/>
    </row>
    <row r="2" spans="1:51" customFormat="1" ht="28.2" customHeight="1">
      <c r="A2" s="17" t="s">
        <v>79</v>
      </c>
      <c r="B2" s="3" t="s">
        <v>80</v>
      </c>
      <c r="C2" s="3" t="s">
        <v>234</v>
      </c>
      <c r="D2" s="17" t="s">
        <v>81</v>
      </c>
      <c r="E2" s="17" t="s">
        <v>47</v>
      </c>
      <c r="F2" s="169" t="s">
        <v>82</v>
      </c>
      <c r="G2" s="204" t="s">
        <v>146</v>
      </c>
      <c r="H2" s="204" t="s">
        <v>44</v>
      </c>
      <c r="I2" s="204" t="s">
        <v>45</v>
      </c>
      <c r="J2" s="3" t="s">
        <v>83</v>
      </c>
      <c r="K2" s="116" t="s">
        <v>84</v>
      </c>
      <c r="L2" s="116" t="s">
        <v>30</v>
      </c>
      <c r="M2" s="83" t="s">
        <v>86</v>
      </c>
      <c r="N2" s="102" t="s">
        <v>87</v>
      </c>
      <c r="O2" s="103" t="s">
        <v>88</v>
      </c>
      <c r="P2" s="103" t="s">
        <v>89</v>
      </c>
      <c r="Q2" s="170" t="s">
        <v>374</v>
      </c>
      <c r="R2" s="170" t="s">
        <v>90</v>
      </c>
      <c r="S2" s="69" t="s">
        <v>147</v>
      </c>
      <c r="T2" s="69" t="s">
        <v>49</v>
      </c>
      <c r="U2" s="140" t="s">
        <v>50</v>
      </c>
      <c r="V2" s="69" t="s">
        <v>59</v>
      </c>
      <c r="W2" s="70" t="s">
        <v>92</v>
      </c>
      <c r="X2" s="40" t="s">
        <v>375</v>
      </c>
      <c r="Y2" t="s">
        <v>93</v>
      </c>
      <c r="Z2" s="2" t="s">
        <v>55</v>
      </c>
      <c r="AA2" s="193"/>
    </row>
    <row r="3" spans="1:51" customFormat="1" ht="19.2" customHeight="1">
      <c r="A3" s="159"/>
      <c r="B3" s="106" t="s">
        <v>74</v>
      </c>
      <c r="C3" s="106" t="s">
        <v>235</v>
      </c>
      <c r="D3" s="194" t="s">
        <v>58</v>
      </c>
      <c r="E3" s="160"/>
      <c r="F3" s="175">
        <f>SUM(F4:F7)</f>
        <v>16</v>
      </c>
      <c r="G3" s="124">
        <f>AVERAGE(G4:G7)</f>
        <v>5</v>
      </c>
      <c r="H3" s="124">
        <f>AVERAGE(H4:H7)</f>
        <v>4</v>
      </c>
      <c r="I3" s="124">
        <f>AVERAGE(I4:I7)</f>
        <v>4.75</v>
      </c>
      <c r="J3" s="161">
        <f>AVERAGE(Tabel14[[#This Row],[Demonteerbaarheid ]:[Marktpotentie ]])</f>
        <v>4.583333333333333</v>
      </c>
      <c r="K3" s="162">
        <f>IFERROR(ROUND(Tabel14[[#This Row],[Gem. score]]/5,2),0)</f>
        <v>0.92</v>
      </c>
      <c r="L3" s="49" t="str">
        <f t="shared" ref="L3:L7" si="0">IF(E3="A-koper","Hergebruik",IF(E3="C-koper","Recycling",IF(J3&gt;=4,"Hergebruik","Recycling")))</f>
        <v>Hergebruik</v>
      </c>
      <c r="M3" s="174" t="str">
        <f t="shared" ref="M3:M7" si="1">IF(L3&gt;=75%,"Hoogwaardig","Laagwaardig")</f>
        <v>Hoogwaardig</v>
      </c>
      <c r="N3" s="307">
        <v>41216</v>
      </c>
      <c r="O3" s="308">
        <v>4480</v>
      </c>
      <c r="P3" s="308">
        <v>13440</v>
      </c>
      <c r="Q3" s="8">
        <v>4</v>
      </c>
      <c r="R3" s="148">
        <v>20</v>
      </c>
      <c r="S3" s="171">
        <f>Tabel14[[#This Row],[Volume (m3)]]*Tabel14[[#This Row],[CO2-nieuw (kg)]]+Tabel14[[#This Row],[Volume (m3)]]*Tabel14[[#This Row],[Transport-impact ]]*Tabel14[[#This Row],[Transport afstand (km)]]/1000</f>
        <v>659457.28000000003</v>
      </c>
      <c r="T3" s="171">
        <f>Tabel14[[#This Row],[Volume (m3)]]*Tabel14[[#This Row],[CO2-Hergebruik (kg)]]+Tabel14[[#This Row],[Volume (m3)]]*Tabel14[[#This Row],[Transport afstand (km)]]*Tabel14[[#This Row],[Transport-impact ]]/1000</f>
        <v>71681.279999999999</v>
      </c>
      <c r="U3" s="172">
        <f>Tabel14[[#This Row],[Volume (m3)]]*Tabel14[[#This Row],[CO2- recycle (kg)]]+Tabel14[[#This Row],[Transport-impact ]]*Tabel14[[#This Row],[Transport afstand (km)]]*Tabel14[[#This Row],[Volume (m3)]]/1000</f>
        <v>215041.28</v>
      </c>
      <c r="V3" s="49">
        <f>IF(W3="hergebruik",S3-T3,IF(W3="recycling",U3-T3,""))</f>
        <v>587776</v>
      </c>
      <c r="W3" s="173" t="str">
        <f>IF(T3=MIN(S3:U3),"Hergebruik",IF(U3=MIN(S3:U3),"Recycling","Nieuw"))</f>
        <v>Hergebruik</v>
      </c>
      <c r="X3" s="84">
        <f t="shared" ref="X3:X7" si="2">IF(OR(F3="",K3=""),"",F3*K3)</f>
        <v>14.72</v>
      </c>
      <c r="Y3" s="44">
        <f>IFERROR(VLOOKUP(C3,$A$10:$D$13,4,FALSE),0)</f>
        <v>1275</v>
      </c>
      <c r="Z3" s="344">
        <f>Tabel14[[#This Row],[Verkoopbaar volume (m3)]]*Tabel14[[#This Row],[Verkoopprijs aan retailer per m³]]</f>
        <v>18768</v>
      </c>
      <c r="AA3" s="193"/>
    </row>
    <row r="4" spans="1:51" customFormat="1" ht="19.2" customHeight="1">
      <c r="A4" s="7">
        <v>1</v>
      </c>
      <c r="B4" s="163" t="s">
        <v>236</v>
      </c>
      <c r="C4" s="12" t="s">
        <v>237</v>
      </c>
      <c r="D4" s="195" t="s">
        <v>238</v>
      </c>
      <c r="E4" s="4" t="s">
        <v>239</v>
      </c>
      <c r="F4" s="11">
        <v>4</v>
      </c>
      <c r="G4" s="125">
        <v>5</v>
      </c>
      <c r="H4" s="125">
        <v>4</v>
      </c>
      <c r="I4" s="125">
        <v>5</v>
      </c>
      <c r="J4" s="121">
        <f>AVERAGE(Tabel14[[#This Row],[Demonteerbaarheid ]:[Marktpotentie ]])</f>
        <v>4.666666666666667</v>
      </c>
      <c r="K4" s="164">
        <f>IFERROR(ROUND(Tabel14[[#This Row],[Gem. score]]/5,2),0)</f>
        <v>0.93</v>
      </c>
      <c r="L4" s="49" t="str">
        <f t="shared" si="0"/>
        <v>Hergebruik</v>
      </c>
      <c r="M4" s="174" t="str">
        <f t="shared" si="1"/>
        <v>Hoogwaardig</v>
      </c>
      <c r="N4" s="307">
        <v>41216</v>
      </c>
      <c r="O4" s="308">
        <v>4480</v>
      </c>
      <c r="P4" s="308">
        <v>13440</v>
      </c>
      <c r="Q4" s="8">
        <v>4</v>
      </c>
      <c r="R4" s="148">
        <v>20</v>
      </c>
      <c r="S4" s="171">
        <f>Tabel14[[#This Row],[Volume (m3)]]*Tabel14[[#This Row],[CO2-nieuw (kg)]]+Tabel14[[#This Row],[Volume (m3)]]*Tabel14[[#This Row],[Transport-impact ]]*Tabel14[[#This Row],[Transport afstand (km)]]/1000</f>
        <v>164864.32000000001</v>
      </c>
      <c r="T4" s="171">
        <f>Tabel14[[#This Row],[Volume (m3)]]*Tabel14[[#This Row],[CO2-Hergebruik (kg)]]+Tabel14[[#This Row],[Volume (m3)]]*Tabel14[[#This Row],[Transport afstand (km)]]*Tabel14[[#This Row],[Transport-impact ]]/1000</f>
        <v>17920.32</v>
      </c>
      <c r="U4" s="172">
        <f>Tabel14[[#This Row],[Volume (m3)]]*Tabel14[[#This Row],[CO2- recycle (kg)]]+Tabel14[[#This Row],[Transport-impact ]]*Tabel14[[#This Row],[Transport afstand (km)]]*Tabel14[[#This Row],[Volume (m3)]]/1000</f>
        <v>53760.32</v>
      </c>
      <c r="V4" s="49">
        <f>IF(W4="hergebruik",S4-T4,IF(W4="recycling",U4-T4,""))</f>
        <v>146944</v>
      </c>
      <c r="W4" s="173" t="str">
        <f>IF(T4=MIN(S4:U4),"Hergebruik",IF(U4=MIN(S4:U4),"Recycling","Nieuw"))</f>
        <v>Hergebruik</v>
      </c>
      <c r="X4" s="84">
        <f t="shared" si="2"/>
        <v>3.72</v>
      </c>
      <c r="Y4" s="44">
        <f>IFERROR(VLOOKUP(C4,$A$10:$D$13,4,FALSE),0)</f>
        <v>2250</v>
      </c>
      <c r="Z4" s="344">
        <f>Tabel14[[#This Row],[Verkoopbaar volume (m3)]]*Tabel14[[#This Row],[Verkoopprijs aan retailer per m³]]</f>
        <v>8370</v>
      </c>
      <c r="AA4" s="193"/>
    </row>
    <row r="5" spans="1:51" customFormat="1" ht="14.7" customHeight="1">
      <c r="A5" s="165">
        <v>2</v>
      </c>
      <c r="B5" s="4"/>
      <c r="C5" s="12" t="s">
        <v>240</v>
      </c>
      <c r="D5" s="196"/>
      <c r="E5" s="4" t="s">
        <v>239</v>
      </c>
      <c r="F5" s="166">
        <v>4</v>
      </c>
      <c r="G5" s="168">
        <v>5</v>
      </c>
      <c r="H5" s="168">
        <v>5</v>
      </c>
      <c r="I5" s="168">
        <v>5</v>
      </c>
      <c r="J5" s="121">
        <f>AVERAGE(Tabel14[[#This Row],[Demonteerbaarheid ]:[Marktpotentie ]])</f>
        <v>5</v>
      </c>
      <c r="K5" s="164">
        <f>IFERROR(ROUND(Tabel14[[#This Row],[Gem. score]]/5,2),0)</f>
        <v>1</v>
      </c>
      <c r="L5" s="49" t="str">
        <f t="shared" si="0"/>
        <v>Hergebruik</v>
      </c>
      <c r="M5" s="174" t="str">
        <f>IF(L5&gt;=75%,"Hoogwaardig","Laagwaardig")</f>
        <v>Hoogwaardig</v>
      </c>
      <c r="N5" s="307">
        <v>41216</v>
      </c>
      <c r="O5" s="308">
        <v>4480</v>
      </c>
      <c r="P5" s="308">
        <v>13440</v>
      </c>
      <c r="Q5" s="8">
        <v>4</v>
      </c>
      <c r="R5" s="148">
        <v>20</v>
      </c>
      <c r="S5" s="171">
        <f>Tabel14[[#This Row],[Volume (m3)]]*Tabel14[[#This Row],[CO2-nieuw (kg)]]+Tabel14[[#This Row],[Volume (m3)]]*Tabel14[[#This Row],[Transport-impact ]]*Tabel14[[#This Row],[Transport afstand (km)]]/1000</f>
        <v>164864.32000000001</v>
      </c>
      <c r="T5" s="171">
        <f>Tabel14[[#This Row],[Volume (m3)]]*Tabel14[[#This Row],[CO2-Hergebruik (kg)]]+Tabel14[[#This Row],[Volume (m3)]]*Tabel14[[#This Row],[Transport afstand (km)]]*Tabel14[[#This Row],[Transport-impact ]]/1000</f>
        <v>17920.32</v>
      </c>
      <c r="U5" s="172">
        <f>Tabel14[[#This Row],[Volume (m3)]]*Tabel14[[#This Row],[CO2- recycle (kg)]]+Tabel14[[#This Row],[Transport-impact ]]*Tabel14[[#This Row],[Transport afstand (km)]]*Tabel14[[#This Row],[Volume (m3)]]/1000</f>
        <v>53760.32</v>
      </c>
      <c r="V5" s="49">
        <f>IF(W5="hergebruik",S5-T5,IF(W5="recycling",U5-T5,""))</f>
        <v>146944</v>
      </c>
      <c r="W5" s="173" t="str">
        <f>IF(T5=MIN(S5:U5),"Hergebruik",IF(U5=MIN(S5:U5),"Recycling","Nieuw"))</f>
        <v>Hergebruik</v>
      </c>
      <c r="X5" s="84">
        <f t="shared" si="2"/>
        <v>4</v>
      </c>
      <c r="Y5" s="44">
        <f>IFERROR(VLOOKUP(C5,$A$10:$D$13,4,FALSE),0)</f>
        <v>2024</v>
      </c>
      <c r="Z5" s="344">
        <f>Tabel14[[#This Row],[Verkoopbaar volume (m3)]]*Tabel14[[#This Row],[Verkoopprijs aan retailer per m³]]</f>
        <v>8096</v>
      </c>
      <c r="AA5" s="193"/>
    </row>
    <row r="6" spans="1:51" customFormat="1" ht="14.7" customHeight="1">
      <c r="A6" s="7">
        <v>3</v>
      </c>
      <c r="B6" s="7" t="s">
        <v>241</v>
      </c>
      <c r="C6" s="12" t="s">
        <v>235</v>
      </c>
      <c r="D6" s="53" t="s">
        <v>242</v>
      </c>
      <c r="E6" s="4" t="s">
        <v>239</v>
      </c>
      <c r="F6" s="15">
        <v>4</v>
      </c>
      <c r="G6" s="168">
        <v>5</v>
      </c>
      <c r="H6" s="168">
        <v>3</v>
      </c>
      <c r="I6" s="168">
        <v>4</v>
      </c>
      <c r="J6" s="121">
        <f>AVERAGE(Tabel14[[#This Row],[Demonteerbaarheid ]:[Marktpotentie ]])</f>
        <v>4</v>
      </c>
      <c r="K6" s="164">
        <f>IFERROR(ROUND(Tabel14[[#This Row],[Gem. score]]/5,2),0)</f>
        <v>0.8</v>
      </c>
      <c r="L6" s="49" t="str">
        <f t="shared" si="0"/>
        <v>Hergebruik</v>
      </c>
      <c r="M6" s="174" t="str">
        <f t="shared" si="1"/>
        <v>Hoogwaardig</v>
      </c>
      <c r="N6" s="307">
        <v>41216</v>
      </c>
      <c r="O6" s="308">
        <v>4480</v>
      </c>
      <c r="P6" s="308">
        <v>13440</v>
      </c>
      <c r="Q6" s="8">
        <v>4</v>
      </c>
      <c r="R6" s="148">
        <v>20</v>
      </c>
      <c r="S6" s="171">
        <f>Tabel14[[#This Row],[Volume (m3)]]*Tabel14[[#This Row],[CO2-nieuw (kg)]]+Tabel14[[#This Row],[Volume (m3)]]*Tabel14[[#This Row],[Transport-impact ]]*Tabel14[[#This Row],[Transport afstand (km)]]/1000</f>
        <v>164864.32000000001</v>
      </c>
      <c r="T6" s="171">
        <f>Tabel14[[#This Row],[Volume (m3)]]*Tabel14[[#This Row],[CO2-Hergebruik (kg)]]+Tabel14[[#This Row],[Volume (m3)]]*Tabel14[[#This Row],[Transport afstand (km)]]*Tabel14[[#This Row],[Transport-impact ]]/1000</f>
        <v>17920.32</v>
      </c>
      <c r="U6" s="172">
        <f>Tabel14[[#This Row],[Volume (m3)]]*Tabel14[[#This Row],[CO2- recycle (kg)]]+Tabel14[[#This Row],[Transport-impact ]]*Tabel14[[#This Row],[Transport afstand (km)]]*Tabel14[[#This Row],[Volume (m3)]]/1000</f>
        <v>53760.32</v>
      </c>
      <c r="V6" s="49">
        <f>IF(W6="hergebruik",S6-T6,IF(W6="recycling",U6-T6,""))</f>
        <v>146944</v>
      </c>
      <c r="W6" s="173" t="str">
        <f t="shared" ref="W6:W7" si="3">IF(T6=MIN(S6:U6),"Hergebruik",IF(U6=MIN(S6:U6),"Recycling","Nieuw"))</f>
        <v>Hergebruik</v>
      </c>
      <c r="X6" s="84">
        <f t="shared" si="2"/>
        <v>3.2</v>
      </c>
      <c r="Y6" s="44">
        <f>IFERROR(VLOOKUP(C6,$A$10:$D$13,4,FALSE),0)</f>
        <v>1275</v>
      </c>
      <c r="Z6" s="344">
        <f>Tabel14[[#This Row],[Verkoopbaar volume (m3)]]*Tabel14[[#This Row],[Verkoopprijs aan retailer per m³]]</f>
        <v>4080</v>
      </c>
      <c r="AA6" s="193"/>
    </row>
    <row r="7" spans="1:51" customFormat="1" ht="14.7" customHeight="1">
      <c r="A7" s="165">
        <v>4</v>
      </c>
      <c r="B7" s="165" t="s">
        <v>243</v>
      </c>
      <c r="C7" s="12" t="s">
        <v>244</v>
      </c>
      <c r="D7" s="197" t="s">
        <v>245</v>
      </c>
      <c r="E7" s="4"/>
      <c r="F7" s="167">
        <v>4</v>
      </c>
      <c r="G7" s="168">
        <v>5</v>
      </c>
      <c r="H7" s="168">
        <v>4</v>
      </c>
      <c r="I7" s="168">
        <v>5</v>
      </c>
      <c r="J7" s="121">
        <f>AVERAGE(Tabel14[[#This Row],[Demonteerbaarheid ]:[Marktpotentie ]])</f>
        <v>4.666666666666667</v>
      </c>
      <c r="K7" s="164">
        <f>IFERROR(ROUND(Tabel14[[#This Row],[Gem. score]]/5,2),0)</f>
        <v>0.93</v>
      </c>
      <c r="L7" s="49" t="str">
        <f t="shared" si="0"/>
        <v>Hergebruik</v>
      </c>
      <c r="M7" s="174" t="str">
        <f t="shared" si="1"/>
        <v>Hoogwaardig</v>
      </c>
      <c r="N7" s="307">
        <v>41216</v>
      </c>
      <c r="O7" s="308">
        <v>4480</v>
      </c>
      <c r="P7" s="308">
        <v>13440</v>
      </c>
      <c r="Q7" s="8">
        <v>3</v>
      </c>
      <c r="R7" s="148">
        <v>20</v>
      </c>
      <c r="S7" s="171">
        <f>Tabel14[[#This Row],[Volume (m3)]]*Tabel14[[#This Row],[CO2-nieuw (kg)]]+Tabel14[[#This Row],[Volume (m3)]]*Tabel14[[#This Row],[Transport-impact ]]*Tabel14[[#This Row],[Transport afstand (km)]]/1000</f>
        <v>164864.24</v>
      </c>
      <c r="T7" s="171">
        <f>Tabel14[[#This Row],[Volume (m3)]]*Tabel14[[#This Row],[CO2-Hergebruik (kg)]]+Tabel14[[#This Row],[Volume (m3)]]*Tabel14[[#This Row],[Transport afstand (km)]]*Tabel14[[#This Row],[Transport-impact ]]/1000</f>
        <v>17920.240000000002</v>
      </c>
      <c r="U7" s="172">
        <f>Tabel14[[#This Row],[Volume (m3)]]*Tabel14[[#This Row],[CO2- recycle (kg)]]+Tabel14[[#This Row],[Transport-impact ]]*Tabel14[[#This Row],[Transport afstand (km)]]*Tabel14[[#This Row],[Volume (m3)]]/1000</f>
        <v>53760.24</v>
      </c>
      <c r="V7" s="49">
        <f>IF(W7="hergebruik",S7-T7,IF(W7="recycling",U7-T7,""))</f>
        <v>146944</v>
      </c>
      <c r="W7" s="173" t="str">
        <f t="shared" si="3"/>
        <v>Hergebruik</v>
      </c>
      <c r="X7" s="84">
        <f t="shared" si="2"/>
        <v>3.72</v>
      </c>
      <c r="Y7" s="44">
        <f>IFERROR(VLOOKUP(C7,$A$10:$D$13,4,FALSE),0)</f>
        <v>700</v>
      </c>
      <c r="Z7" s="344">
        <f>Tabel14[[#This Row],[Verkoopbaar volume (m3)]]*Tabel14[[#This Row],[Verkoopprijs aan retailer per m³]]</f>
        <v>2604</v>
      </c>
      <c r="AA7" s="193"/>
    </row>
    <row r="8" spans="1:51" ht="15" customHeight="1">
      <c r="Q8" s="193">
        <v>4</v>
      </c>
      <c r="T8" s="340"/>
      <c r="U8" s="340"/>
      <c r="V8" s="340"/>
      <c r="W8" s="340"/>
    </row>
    <row r="9" spans="1:51" customFormat="1" ht="28.8">
      <c r="A9" s="54" t="s">
        <v>246</v>
      </c>
      <c r="B9" s="222" t="s">
        <v>247</v>
      </c>
      <c r="C9" s="222" t="s">
        <v>248</v>
      </c>
      <c r="D9" s="222" t="s">
        <v>249</v>
      </c>
      <c r="E9" s="193"/>
      <c r="F9" s="193"/>
      <c r="G9" s="193"/>
      <c r="H9" s="193"/>
      <c r="I9" s="193"/>
      <c r="J9" s="193"/>
      <c r="K9" s="193"/>
      <c r="L9" s="193"/>
      <c r="M9" s="193"/>
      <c r="N9" s="193"/>
      <c r="O9" s="193"/>
      <c r="P9" s="193"/>
      <c r="Q9" s="193"/>
      <c r="R9" s="193"/>
      <c r="S9" s="193"/>
      <c r="T9" s="193"/>
      <c r="U9" s="193"/>
      <c r="V9" s="193"/>
      <c r="W9" s="193"/>
      <c r="X9" s="193"/>
      <c r="Y9" s="193"/>
      <c r="Z9" s="193"/>
      <c r="AA9" s="193"/>
      <c r="AB9" s="193"/>
      <c r="AC9" s="193"/>
      <c r="AD9" s="193"/>
      <c r="AE9" s="193"/>
      <c r="AF9" s="193"/>
      <c r="AG9" s="193"/>
      <c r="AH9" s="193"/>
      <c r="AI9" s="193"/>
      <c r="AJ9" s="193"/>
      <c r="AK9" s="193"/>
      <c r="AL9" s="193"/>
      <c r="AM9" s="193"/>
      <c r="AN9" s="193"/>
      <c r="AO9" s="193"/>
      <c r="AP9" s="193"/>
      <c r="AQ9" s="193"/>
      <c r="AR9" s="193"/>
      <c r="AS9" s="193"/>
      <c r="AT9" s="193"/>
      <c r="AU9" s="193"/>
      <c r="AV9" s="193"/>
      <c r="AW9" s="193"/>
      <c r="AX9" s="193"/>
      <c r="AY9" s="193"/>
    </row>
    <row r="10" spans="1:51" customFormat="1" ht="27" customHeight="1">
      <c r="A10" s="53" t="s">
        <v>237</v>
      </c>
      <c r="B10" s="51">
        <v>2500</v>
      </c>
      <c r="C10" s="52">
        <v>0.9</v>
      </c>
      <c r="D10" s="51">
        <f>Tabel22[[#This Row],[Metaalhandel-inkoopfactor]]*Tabel22[[#This Row],[Retail recyclingprijs per m³]]</f>
        <v>2250</v>
      </c>
      <c r="E10" s="193"/>
      <c r="F10" s="193"/>
      <c r="G10" s="193"/>
      <c r="H10" s="193"/>
      <c r="I10" s="193"/>
      <c r="J10" s="193"/>
      <c r="K10" s="193"/>
      <c r="L10" s="193"/>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c r="AY10" s="193"/>
    </row>
    <row r="11" spans="1:51" customFormat="1" ht="15" customHeight="1">
      <c r="A11" s="53" t="s">
        <v>240</v>
      </c>
      <c r="B11" s="51">
        <v>2300</v>
      </c>
      <c r="C11" s="52">
        <v>0.88</v>
      </c>
      <c r="D11" s="51">
        <f>Tabel22[[#This Row],[Metaalhandel-inkoopfactor]]*Tabel22[[#This Row],[Retail recyclingprijs per m³]]</f>
        <v>2024</v>
      </c>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c r="AM11" s="193"/>
      <c r="AN11" s="193"/>
      <c r="AO11" s="193"/>
      <c r="AP11" s="193"/>
      <c r="AQ11" s="193"/>
      <c r="AR11" s="193"/>
      <c r="AS11" s="193"/>
      <c r="AT11" s="193"/>
      <c r="AU11" s="193"/>
      <c r="AV11" s="193"/>
      <c r="AW11" s="193"/>
      <c r="AX11" s="193"/>
      <c r="AY11" s="193"/>
    </row>
    <row r="12" spans="1:51" customFormat="1" ht="28.8">
      <c r="A12" s="53" t="s">
        <v>235</v>
      </c>
      <c r="B12" s="51">
        <v>1500</v>
      </c>
      <c r="C12" s="52">
        <v>0.85</v>
      </c>
      <c r="D12" s="51">
        <f>Tabel22[[#This Row],[Metaalhandel-inkoopfactor]]*Tabel22[[#This Row],[Retail recyclingprijs per m³]]</f>
        <v>1275</v>
      </c>
      <c r="E12" s="193"/>
      <c r="F12" s="193"/>
      <c r="G12" s="193"/>
      <c r="H12" s="193"/>
      <c r="I12" s="193"/>
      <c r="J12" s="193"/>
      <c r="K12" s="193"/>
      <c r="L12" s="193"/>
      <c r="M12" s="193"/>
      <c r="N12" s="193"/>
      <c r="O12" s="193"/>
      <c r="P12" s="193"/>
      <c r="Q12" s="193"/>
      <c r="R12" s="193"/>
      <c r="S12" s="193"/>
      <c r="T12" s="193"/>
      <c r="U12" s="193"/>
      <c r="V12" s="193"/>
      <c r="W12" s="193"/>
      <c r="X12" s="193"/>
      <c r="Y12" s="193"/>
      <c r="Z12" s="193"/>
      <c r="AA12" s="193"/>
      <c r="AB12" s="193"/>
      <c r="AC12" s="193"/>
      <c r="AD12" s="193"/>
      <c r="AE12" s="193"/>
      <c r="AF12" s="193"/>
      <c r="AG12" s="193"/>
      <c r="AH12" s="193"/>
      <c r="AI12" s="193"/>
      <c r="AJ12" s="193"/>
      <c r="AK12" s="193"/>
      <c r="AL12" s="193"/>
      <c r="AM12" s="193"/>
      <c r="AN12" s="193"/>
      <c r="AO12" s="193"/>
      <c r="AP12" s="193"/>
      <c r="AQ12" s="193"/>
      <c r="AR12" s="193"/>
      <c r="AS12" s="193"/>
      <c r="AT12" s="193"/>
      <c r="AU12" s="193"/>
      <c r="AV12" s="193"/>
      <c r="AW12" s="193"/>
      <c r="AX12" s="193"/>
      <c r="AY12" s="193"/>
    </row>
    <row r="13" spans="1:51" customFormat="1" ht="33" customHeight="1">
      <c r="A13" s="55" t="s">
        <v>244</v>
      </c>
      <c r="B13" s="56">
        <v>1000</v>
      </c>
      <c r="C13" s="57">
        <v>0.7</v>
      </c>
      <c r="D13" s="51">
        <f>Tabel22[[#This Row],[Metaalhandel-inkoopfactor]]*Tabel22[[#This Row],[Retail recyclingprijs per m³]]</f>
        <v>700</v>
      </c>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c r="AY13" s="193"/>
    </row>
    <row r="14" spans="1:51" ht="26.7" customHeight="1"/>
  </sheetData>
  <mergeCells count="4">
    <mergeCell ref="A1:E1"/>
    <mergeCell ref="F1:L1"/>
    <mergeCell ref="M1:V1"/>
    <mergeCell ref="W1:Y1"/>
  </mergeCells>
  <phoneticPr fontId="6" type="noConversion"/>
  <conditionalFormatting sqref="K3:K7">
    <cfRule type="colorScale" priority="248">
      <colorScale>
        <cfvo type="min"/>
        <cfvo type="percentile" val="50"/>
        <cfvo type="max"/>
        <color rgb="FFFEE2E2"/>
        <color rgb="FFFEF3C7"/>
        <color rgb="FFDCFCE7"/>
      </colorScale>
    </cfRule>
  </conditionalFormatting>
  <conditionalFormatting sqref="L3:M7 R3:R7">
    <cfRule type="colorScale" priority="249">
      <colorScale>
        <cfvo type="min"/>
        <cfvo type="percentile" val="50"/>
        <cfvo type="max"/>
        <color rgb="FFFEE2E2"/>
        <color rgb="FFFEF3C7"/>
        <color rgb="FFDCFCE7"/>
      </colorScale>
    </cfRule>
  </conditionalFormatting>
  <dataValidations disablePrompts="1" count="2">
    <dataValidation type="list" sqref="D7 D3:D5 E3:E7" xr:uid="{00000000-0002-0000-0400-000001000000}">
      <formula1>"Staal,Hout,Beton,Aluminium,Koper,Keramiek,Bitumen,Overig"</formula1>
    </dataValidation>
    <dataValidation type="list" sqref="G3:I7 Q3:Q7" xr:uid="{00000000-0002-0000-0400-000003000000}">
      <formula1>"1,2,3,4,5"</formula1>
    </dataValidation>
  </dataValidations>
  <pageMargins left="0.7" right="0.7" top="0.75" bottom="0.75" header="0.3" footer="0.3"/>
  <drawing r:id="rId1"/>
  <legacy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F28B-6400-4FCF-8404-62E132F4AA53}">
  <dimension ref="A1:K14"/>
  <sheetViews>
    <sheetView zoomScale="80" zoomScaleNormal="80" workbookViewId="0">
      <selection activeCell="A11" sqref="A11:XFD14"/>
    </sheetView>
  </sheetViews>
  <sheetFormatPr defaultColWidth="0" defaultRowHeight="14.4" zeroHeight="1"/>
  <cols>
    <col min="1" max="1" width="18.77734375" customWidth="1"/>
    <col min="2" max="2" width="29.44140625" customWidth="1"/>
    <col min="3" max="3" width="45.77734375" customWidth="1"/>
    <col min="4" max="4" width="1.77734375" style="193" customWidth="1"/>
    <col min="5" max="5" width="37.77734375" customWidth="1"/>
    <col min="6" max="6" width="30.5546875" customWidth="1"/>
    <col min="7" max="7" width="32.109375" customWidth="1"/>
    <col min="8" max="8" width="32" customWidth="1"/>
    <col min="9" max="9" width="53.109375" customWidth="1"/>
    <col min="10" max="10" width="7.33203125" customWidth="1"/>
    <col min="11" max="11" width="24.77734375" hidden="1" customWidth="1"/>
    <col min="12" max="16384" width="8.77734375" hidden="1"/>
  </cols>
  <sheetData>
    <row r="1" spans="1:11">
      <c r="A1" s="40" t="s">
        <v>246</v>
      </c>
      <c r="B1" s="42" t="s">
        <v>54</v>
      </c>
      <c r="C1" s="42" t="s">
        <v>251</v>
      </c>
      <c r="E1" s="189" t="s">
        <v>2</v>
      </c>
      <c r="F1" s="189" t="s">
        <v>112</v>
      </c>
      <c r="G1" s="189" t="s">
        <v>113</v>
      </c>
      <c r="H1" s="189" t="s">
        <v>114</v>
      </c>
      <c r="I1" s="189" t="s">
        <v>115</v>
      </c>
      <c r="J1" s="193"/>
    </row>
    <row r="2" spans="1:11" ht="57.6">
      <c r="A2" s="39" t="s">
        <v>237</v>
      </c>
      <c r="B2" s="41" t="s">
        <v>256</v>
      </c>
      <c r="C2" s="41" t="s">
        <v>257</v>
      </c>
      <c r="E2" s="191" t="s">
        <v>245</v>
      </c>
      <c r="F2" s="82" t="s">
        <v>252</v>
      </c>
      <c r="G2" s="82" t="s">
        <v>253</v>
      </c>
      <c r="H2" s="82" t="s">
        <v>254</v>
      </c>
      <c r="I2" s="82" t="s">
        <v>255</v>
      </c>
      <c r="J2" s="193"/>
    </row>
    <row r="3" spans="1:11" ht="43.2">
      <c r="A3" s="39" t="s">
        <v>240</v>
      </c>
      <c r="B3" s="41" t="s">
        <v>263</v>
      </c>
      <c r="C3" s="41" t="s">
        <v>264</v>
      </c>
      <c r="D3" s="343"/>
      <c r="E3" s="191" t="s">
        <v>258</v>
      </c>
      <c r="F3" s="82" t="s">
        <v>259</v>
      </c>
      <c r="G3" s="82" t="s">
        <v>260</v>
      </c>
      <c r="H3" s="82" t="s">
        <v>261</v>
      </c>
      <c r="I3" s="82" t="s">
        <v>262</v>
      </c>
      <c r="J3" s="193"/>
    </row>
    <row r="4" spans="1:11" ht="57.6">
      <c r="A4" s="39" t="s">
        <v>270</v>
      </c>
      <c r="B4" s="41" t="s">
        <v>271</v>
      </c>
      <c r="C4" s="41" t="s">
        <v>272</v>
      </c>
      <c r="E4" s="191" t="s">
        <v>265</v>
      </c>
      <c r="F4" s="82" t="s">
        <v>266</v>
      </c>
      <c r="G4" s="82" t="s">
        <v>267</v>
      </c>
      <c r="H4" s="82" t="s">
        <v>268</v>
      </c>
      <c r="I4" s="82" t="s">
        <v>269</v>
      </c>
      <c r="J4" s="193"/>
    </row>
    <row r="5" spans="1:11" ht="43.2">
      <c r="A5" s="39" t="s">
        <v>277</v>
      </c>
      <c r="B5" s="41" t="s">
        <v>278</v>
      </c>
      <c r="C5" s="41" t="s">
        <v>279</v>
      </c>
      <c r="E5" s="191" t="s">
        <v>238</v>
      </c>
      <c r="F5" s="82" t="s">
        <v>273</v>
      </c>
      <c r="G5" s="82" t="s">
        <v>274</v>
      </c>
      <c r="H5" s="82" t="s">
        <v>275</v>
      </c>
      <c r="I5" s="82" t="s">
        <v>276</v>
      </c>
      <c r="J5" s="193"/>
    </row>
    <row r="6" spans="1:11" s="193" customFormat="1"/>
    <row r="7" spans="1:11">
      <c r="A7" s="42" t="s">
        <v>405</v>
      </c>
      <c r="B7" s="40" t="s">
        <v>30</v>
      </c>
      <c r="C7" s="40" t="s">
        <v>378</v>
      </c>
      <c r="E7" s="193"/>
      <c r="F7" s="193"/>
      <c r="G7" s="193"/>
      <c r="H7" s="193"/>
      <c r="I7" s="193"/>
      <c r="J7" s="193"/>
      <c r="K7" s="193"/>
    </row>
    <row r="8" spans="1:11" ht="28.8">
      <c r="A8" s="41" t="s">
        <v>399</v>
      </c>
      <c r="B8" s="39" t="s">
        <v>382</v>
      </c>
      <c r="C8" s="39" t="s">
        <v>400</v>
      </c>
      <c r="E8" s="193"/>
      <c r="F8" s="193"/>
      <c r="G8" s="193"/>
      <c r="H8" s="193"/>
      <c r="I8" s="193"/>
      <c r="J8" s="193"/>
      <c r="K8" s="193"/>
    </row>
    <row r="9" spans="1:11" ht="28.8">
      <c r="A9" s="41" t="s">
        <v>401</v>
      </c>
      <c r="B9" s="39" t="s">
        <v>385</v>
      </c>
      <c r="C9" s="39" t="s">
        <v>402</v>
      </c>
      <c r="E9" s="193"/>
      <c r="F9" s="341"/>
      <c r="G9" s="193"/>
      <c r="H9" s="193"/>
      <c r="I9" s="193"/>
      <c r="J9" s="193"/>
      <c r="K9" s="193"/>
    </row>
    <row r="10" spans="1:11" ht="28.8">
      <c r="A10" s="41" t="s">
        <v>403</v>
      </c>
      <c r="B10" s="39" t="s">
        <v>36</v>
      </c>
      <c r="C10" s="39" t="s">
        <v>404</v>
      </c>
      <c r="E10" s="193"/>
      <c r="F10" s="342"/>
      <c r="G10" s="193"/>
      <c r="H10" s="193"/>
      <c r="I10" s="193"/>
      <c r="J10" s="193"/>
      <c r="K10" s="193"/>
    </row>
    <row r="11" spans="1:11" s="193" customFormat="1" ht="3" customHeight="1">
      <c r="F11" s="342"/>
    </row>
    <row r="12" spans="1:11" s="193" customFormat="1" ht="3" customHeight="1">
      <c r="F12" s="342"/>
    </row>
    <row r="13" spans="1:11" s="193" customFormat="1" ht="3" customHeight="1">
      <c r="F13" s="342"/>
    </row>
    <row r="14" spans="1:11" s="193" customFormat="1" ht="3" customHeight="1"/>
  </sheetData>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0644-04AA-484C-B05B-F521924C0285}">
  <dimension ref="A1:B11"/>
  <sheetViews>
    <sheetView workbookViewId="0">
      <selection activeCell="B4" sqref="B4"/>
    </sheetView>
  </sheetViews>
  <sheetFormatPr defaultColWidth="8.77734375" defaultRowHeight="14.4"/>
  <cols>
    <col min="1" max="1" width="12" bestFit="1" customWidth="1"/>
    <col min="2" max="2" width="13.109375" customWidth="1"/>
  </cols>
  <sheetData>
    <row r="1" spans="1:2">
      <c r="A1" s="201" t="s">
        <v>144</v>
      </c>
      <c r="B1" s="201" t="s">
        <v>145</v>
      </c>
    </row>
    <row r="2" spans="1:2">
      <c r="A2" s="202" t="s">
        <v>58</v>
      </c>
      <c r="B2" s="202">
        <v>0</v>
      </c>
    </row>
    <row r="3" spans="1:2">
      <c r="A3" s="203" t="s">
        <v>60</v>
      </c>
      <c r="B3" s="203">
        <v>0</v>
      </c>
    </row>
    <row r="4" spans="1:2">
      <c r="A4" s="203" t="s">
        <v>61</v>
      </c>
      <c r="B4" s="203">
        <v>0</v>
      </c>
    </row>
    <row r="5" spans="1:2">
      <c r="A5" s="203" t="s">
        <v>64</v>
      </c>
      <c r="B5" s="203">
        <v>0</v>
      </c>
    </row>
    <row r="6" spans="1:2">
      <c r="A6" s="203" t="s">
        <v>67</v>
      </c>
      <c r="B6" s="203">
        <v>0</v>
      </c>
    </row>
    <row r="7" spans="1:2">
      <c r="A7" s="203" t="s">
        <v>68</v>
      </c>
      <c r="B7" s="203">
        <v>0</v>
      </c>
    </row>
    <row r="8" spans="1:2">
      <c r="A8" s="203" t="s">
        <v>69</v>
      </c>
      <c r="B8" s="203">
        <v>0</v>
      </c>
    </row>
    <row r="9" spans="1:2">
      <c r="A9" s="203" t="s">
        <v>70</v>
      </c>
      <c r="B9" s="203">
        <v>0</v>
      </c>
    </row>
    <row r="10" spans="1:2">
      <c r="A10" s="203" t="s">
        <v>71</v>
      </c>
      <c r="B10" s="203">
        <v>0</v>
      </c>
    </row>
    <row r="11" spans="1:2">
      <c r="A11" s="203" t="s">
        <v>72</v>
      </c>
      <c r="B11" s="203">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sheetPr>
  <dimension ref="A1:AY14"/>
  <sheetViews>
    <sheetView zoomScale="80" zoomScaleNormal="80" workbookViewId="0">
      <selection activeCell="A13" sqref="A13"/>
    </sheetView>
  </sheetViews>
  <sheetFormatPr defaultColWidth="0" defaultRowHeight="14.4"/>
  <cols>
    <col min="1" max="1" width="13.109375" style="345" customWidth="1"/>
    <col min="2" max="2" width="31.5546875" style="345" customWidth="1"/>
    <col min="3" max="3" width="39.88671875" style="345" customWidth="1"/>
    <col min="4" max="4" width="28.77734375" style="345" bestFit="1" customWidth="1"/>
    <col min="5" max="5" width="26.109375" style="345" customWidth="1"/>
    <col min="6" max="6" width="27.109375" style="345" customWidth="1"/>
    <col min="7" max="7" width="24.77734375" style="345" customWidth="1"/>
    <col min="8" max="8" width="18.109375" style="345" customWidth="1"/>
    <col min="9" max="13" width="18" style="345" customWidth="1"/>
    <col min="14" max="14" width="16" style="345" customWidth="1"/>
    <col min="15" max="15" width="10" style="345" customWidth="1"/>
    <col min="16" max="16" width="18" style="345" customWidth="1"/>
    <col min="17" max="17" width="22" style="345" customWidth="1"/>
    <col min="18" max="18" width="20.109375" style="345" bestFit="1" customWidth="1"/>
    <col min="19" max="20" width="18" style="345" customWidth="1"/>
    <col min="21" max="21" width="19.44140625" style="345" customWidth="1"/>
    <col min="22" max="22" width="16" style="345" customWidth="1"/>
    <col min="23" max="23" width="14" style="345" customWidth="1"/>
    <col min="24" max="24" width="16.109375" style="345" bestFit="1" customWidth="1"/>
    <col min="25" max="25" width="34.44140625" style="345" bestFit="1" customWidth="1"/>
    <col min="26" max="26" width="8.77734375" style="345" customWidth="1"/>
    <col min="27" max="51" width="0" style="345" hidden="1" customWidth="1"/>
    <col min="52" max="16384" width="8.77734375" style="345" hidden="1"/>
  </cols>
  <sheetData>
    <row r="1" spans="1:37" customFormat="1" ht="17.399999999999999">
      <c r="A1" s="355" t="s">
        <v>75</v>
      </c>
      <c r="B1" s="355"/>
      <c r="C1" s="355"/>
      <c r="D1" s="355"/>
      <c r="E1" s="355"/>
      <c r="F1" s="357" t="s">
        <v>76</v>
      </c>
      <c r="G1" s="357"/>
      <c r="H1" s="357"/>
      <c r="I1" s="357"/>
      <c r="J1" s="357"/>
      <c r="K1" s="357"/>
      <c r="L1" s="357"/>
      <c r="M1" s="355" t="s">
        <v>77</v>
      </c>
      <c r="N1" s="355"/>
      <c r="O1" s="355"/>
      <c r="P1" s="355"/>
      <c r="Q1" s="355"/>
      <c r="R1" s="355"/>
      <c r="S1" s="355"/>
      <c r="T1" s="355"/>
      <c r="U1" s="355"/>
      <c r="V1" s="355"/>
      <c r="W1" s="367" t="s">
        <v>78</v>
      </c>
      <c r="X1" s="356"/>
      <c r="Y1" s="356"/>
      <c r="Z1" s="330"/>
    </row>
    <row r="2" spans="1:37" s="2" customFormat="1" ht="28.2" customHeight="1">
      <c r="A2" s="346" t="s">
        <v>79</v>
      </c>
      <c r="B2" s="28" t="s">
        <v>80</v>
      </c>
      <c r="C2" s="28" t="s">
        <v>81</v>
      </c>
      <c r="D2" s="347" t="s">
        <v>82</v>
      </c>
      <c r="E2" s="347" t="s">
        <v>146</v>
      </c>
      <c r="F2" s="347" t="s">
        <v>44</v>
      </c>
      <c r="G2" s="347" t="s">
        <v>45</v>
      </c>
      <c r="H2" s="28" t="s">
        <v>83</v>
      </c>
      <c r="I2" s="28" t="s">
        <v>84</v>
      </c>
      <c r="J2" s="28" t="s">
        <v>47</v>
      </c>
      <c r="K2" s="28" t="s">
        <v>30</v>
      </c>
      <c r="L2" s="28" t="s">
        <v>86</v>
      </c>
      <c r="M2" s="116" t="s">
        <v>87</v>
      </c>
      <c r="N2" s="116" t="s">
        <v>88</v>
      </c>
      <c r="O2" s="116" t="s">
        <v>89</v>
      </c>
      <c r="P2" s="347" t="s">
        <v>374</v>
      </c>
      <c r="Q2" s="347" t="s">
        <v>90</v>
      </c>
      <c r="R2" s="28" t="s">
        <v>147</v>
      </c>
      <c r="S2" s="28" t="s">
        <v>49</v>
      </c>
      <c r="T2" s="28" t="s">
        <v>50</v>
      </c>
      <c r="U2" s="19" t="s">
        <v>59</v>
      </c>
      <c r="V2" s="19" t="s">
        <v>92</v>
      </c>
      <c r="W2" s="28" t="s">
        <v>375</v>
      </c>
      <c r="X2" s="348" t="s">
        <v>93</v>
      </c>
      <c r="Y2" s="349" t="s">
        <v>55</v>
      </c>
      <c r="Z2" s="345"/>
    </row>
    <row r="3" spans="1:37" s="2" customFormat="1" ht="14.7" customHeight="1">
      <c r="A3" s="59" t="s">
        <v>58</v>
      </c>
      <c r="B3" s="106"/>
      <c r="C3" s="6"/>
      <c r="D3" s="58">
        <f>SUM(D4:D7)</f>
        <v>16</v>
      </c>
      <c r="E3" s="211"/>
      <c r="F3" s="211"/>
      <c r="G3" s="211"/>
      <c r="H3" s="301" t="str">
        <f>IF(COUNTA(E3:G3)=0,"",AVERAGE(E3:G3))</f>
        <v/>
      </c>
      <c r="I3" s="350">
        <f>IFERROR(ROUND(Tabel16[[#This Row],[Gem. score]]/5,2),0)</f>
        <v>0</v>
      </c>
      <c r="J3" s="223"/>
      <c r="K3" s="186"/>
      <c r="L3" s="49"/>
      <c r="M3" s="302"/>
      <c r="N3" s="302"/>
      <c r="O3" s="302"/>
      <c r="P3" s="303"/>
      <c r="Q3" s="304"/>
      <c r="R3" s="65"/>
      <c r="S3" s="305"/>
      <c r="T3" s="305"/>
      <c r="U3" s="49"/>
      <c r="V3" s="49"/>
      <c r="W3" s="351"/>
      <c r="X3" s="187"/>
      <c r="Y3" s="344">
        <f>Tabel16[[#This Row],[Verkoopbaar volume (m3)]]*Tabel16[[#This Row],[Verkoopprijs aan retailer per m³]]</f>
        <v>0</v>
      </c>
      <c r="Z3" s="345"/>
    </row>
    <row r="4" spans="1:37" s="2" customFormat="1" ht="28.8">
      <c r="A4" s="352">
        <v>1</v>
      </c>
      <c r="B4" s="14" t="s">
        <v>367</v>
      </c>
      <c r="C4" s="14" t="s">
        <v>280</v>
      </c>
      <c r="D4" s="15">
        <v>4</v>
      </c>
      <c r="E4" s="125">
        <v>5</v>
      </c>
      <c r="F4" s="125">
        <v>4</v>
      </c>
      <c r="G4" s="125">
        <v>4</v>
      </c>
      <c r="H4" s="120">
        <f>IF(COUNTA(E4:G4)=0,"",AVERAGE(E4:G4))</f>
        <v>4.333333333333333</v>
      </c>
      <c r="I4" s="353">
        <f>IFERROR(ROUND(Tabel16[[#This Row],[Gem. score]]/5,2),0)</f>
        <v>0.87</v>
      </c>
      <c r="J4" s="300" t="s">
        <v>286</v>
      </c>
      <c r="K4" s="186" t="str">
        <f>IF(J4="A-aluminium","Hergebruik",IF(J4="C-aluminium","Recycling",IF(H4&gt;=4,"Hergebruik","Recycling")))</f>
        <v>Hergebruik</v>
      </c>
      <c r="L4" s="4" t="str">
        <f>IF(I4&gt;=75%,"Hoogwaardig","Laagwaardig")</f>
        <v>Hoogwaardig</v>
      </c>
      <c r="M4" s="14">
        <v>48000</v>
      </c>
      <c r="N4" s="14">
        <v>2430</v>
      </c>
      <c r="O4" s="14">
        <v>5400</v>
      </c>
      <c r="P4" s="181">
        <v>2</v>
      </c>
      <c r="Q4" s="184">
        <v>20</v>
      </c>
      <c r="R4" s="182">
        <f>Tabel16[[#This Row],[Volume (m3)]]*Tabel16[[#This Row],[CO2-nieuw (kg)]]+Tabel16[[#This Row],[Volume (m3)]]*Tabel16[[#This Row],[Transport-impact ]]*Tabel16[[#This Row],[Transport afstand (km)]]</f>
        <v>192160</v>
      </c>
      <c r="S4" s="183">
        <f>Tabel16[[#This Row],[Volume (m3)]]*Tabel16[[#This Row],[CO2-Hergebruik (kg)]]+Tabel16[[#This Row],[Volume (m3)]]*Tabel16[[#This Row],[Transport afstand (km)]]*Tabel16[[#This Row],[Transport-impact ]]</f>
        <v>9880</v>
      </c>
      <c r="T4" s="183">
        <f>Tabel16[[#This Row],[Volume (m3)]]*Tabel16[[#This Row],[CO2- recycle (kg)]]+Tabel16[[#This Row],[Volume (m3)]]*Tabel16[[#This Row],[Transport afstand (km)]]*Tabel16[[#This Row],[Transport-impact ]]</f>
        <v>21760</v>
      </c>
      <c r="U4" s="49">
        <f>IF(V4="hergebruik",R4-S4,IF(V4="recycling",T4-S4,""))</f>
        <v>182280</v>
      </c>
      <c r="V4" s="49" t="str">
        <f t="shared" ref="V4:V7" si="0">IF(S4=MIN(R4:T4),"Hergebruik",IF(T4=MIN(R4:T4),"Recycling","Nieuw"))</f>
        <v>Hergebruik</v>
      </c>
      <c r="W4" s="351">
        <f>Tabel16[[#This Row],[Volume (m3)]]*Tabel16[[#This Row],[Geschatte recovery rate (%)]]</f>
        <v>3.48</v>
      </c>
      <c r="X4" s="354">
        <f>IFERROR(VLOOKUP(J4,$A$10:$D$13,4,FALSE),0)</f>
        <v>425</v>
      </c>
      <c r="Y4" s="344">
        <f>Tabel16[[#This Row],[Verkoopbaar volume (m3)]]*Tabel16[[#This Row],[Verkoopprijs aan retailer per m³]]</f>
        <v>1479</v>
      </c>
      <c r="Z4" s="345"/>
    </row>
    <row r="5" spans="1:37" s="2" customFormat="1">
      <c r="A5" s="352">
        <v>2</v>
      </c>
      <c r="B5" s="14" t="s">
        <v>368</v>
      </c>
      <c r="C5" s="14" t="s">
        <v>282</v>
      </c>
      <c r="D5" s="15">
        <v>4</v>
      </c>
      <c r="E5" s="125">
        <v>5</v>
      </c>
      <c r="F5" s="125">
        <v>3</v>
      </c>
      <c r="G5" s="125">
        <v>4</v>
      </c>
      <c r="H5" s="120">
        <f>IF(COUNTA(E5:G5)=0,"",AVERAGE(E5:G5))</f>
        <v>4</v>
      </c>
      <c r="I5" s="353">
        <f>IFERROR(ROUND(Tabel16[[#This Row],[Gem. score]]/5,2),0)</f>
        <v>0.8</v>
      </c>
      <c r="J5" s="300" t="str">
        <f>IF(F5="","",IF(F5&gt;=4,"A-Aluminium",IF(F5&gt;=2.75,"B- Aluminium","C-Aluminium")))</f>
        <v>B- Aluminium</v>
      </c>
      <c r="K5" s="186" t="str">
        <f>IF(J5="A-aluminium","Hergebruik",IF(J5="C-aluminium","Recycling",IF(H5&gt;=4,"Hergebruik","Recycling")))</f>
        <v>Hergebruik</v>
      </c>
      <c r="L5" s="4" t="str">
        <f>IF(I5&gt;=75%,"Hoogwaardig","Laagwaardig")</f>
        <v>Hoogwaardig</v>
      </c>
      <c r="M5" s="14">
        <v>48000</v>
      </c>
      <c r="N5" s="14">
        <v>2430</v>
      </c>
      <c r="O5" s="14">
        <v>5400</v>
      </c>
      <c r="P5" s="181">
        <v>2</v>
      </c>
      <c r="Q5" s="184">
        <v>20</v>
      </c>
      <c r="R5" s="182">
        <f>Tabel16[[#This Row],[Volume (m3)]]*Tabel16[[#This Row],[CO2-nieuw (kg)]]+Tabel16[[#This Row],[Volume (m3)]]*Tabel16[[#This Row],[Transport-impact ]]*Tabel16[[#This Row],[Transport afstand (km)]]</f>
        <v>192160</v>
      </c>
      <c r="S5" s="183">
        <f>Tabel16[[#This Row],[Volume (m3)]]*Tabel16[[#This Row],[CO2-Hergebruik (kg)]]+Tabel16[[#This Row],[Volume (m3)]]*Tabel16[[#This Row],[Transport afstand (km)]]*Tabel16[[#This Row],[Transport-impact ]]</f>
        <v>9880</v>
      </c>
      <c r="T5" s="183">
        <f>Tabel16[[#This Row],[Volume (m3)]]*Tabel16[[#This Row],[CO2- recycle (kg)]]+Tabel16[[#This Row],[Volume (m3)]]*Tabel16[[#This Row],[Transport afstand (km)]]*Tabel16[[#This Row],[Transport-impact ]]</f>
        <v>21760</v>
      </c>
      <c r="U5" s="49">
        <f>IF(V5="hergebruik",R5-S5,IF(V5="recycling",T5-S5,""))</f>
        <v>182280</v>
      </c>
      <c r="V5" s="49" t="str">
        <f t="shared" si="0"/>
        <v>Hergebruik</v>
      </c>
      <c r="W5" s="351">
        <f>Tabel16[[#This Row],[Volume (m3)]]*Tabel16[[#This Row],[Geschatte recovery rate (%)]]</f>
        <v>3.2</v>
      </c>
      <c r="X5" s="188">
        <f>IFERROR(VLOOKUP(J5,$A$10:$D$13,4,FALSE),0)</f>
        <v>280</v>
      </c>
      <c r="Y5" s="344">
        <f>Tabel16[[#This Row],[Verkoopbaar volume (m3)]]*Tabel16[[#This Row],[Verkoopprijs aan retailer per m³]]</f>
        <v>896</v>
      </c>
      <c r="Z5" s="345"/>
    </row>
    <row r="6" spans="1:37" s="2" customFormat="1">
      <c r="A6" s="352">
        <v>3</v>
      </c>
      <c r="B6" s="14" t="s">
        <v>370</v>
      </c>
      <c r="C6" s="14" t="s">
        <v>284</v>
      </c>
      <c r="D6" s="15">
        <v>4</v>
      </c>
      <c r="E6" s="125">
        <v>1</v>
      </c>
      <c r="F6" s="125">
        <v>3</v>
      </c>
      <c r="G6" s="125">
        <v>3</v>
      </c>
      <c r="H6" s="185">
        <f>IF(COUNTA(E6:G6)=0,"",AVERAGE(E6:G6))</f>
        <v>2.3333333333333335</v>
      </c>
      <c r="I6" s="353">
        <f>IFERROR(ROUND(Tabel16[[#This Row],[Gem. score]]/5,2),0)</f>
        <v>0.47</v>
      </c>
      <c r="J6" s="300" t="str">
        <f>IF(F4="","",IF(F4&gt;=4,"A-Aluminium",IF(F4&gt;=2.75,"B- Aluminium","C-Aluminium")))</f>
        <v>A-Aluminium</v>
      </c>
      <c r="K6" s="186" t="str">
        <f>IF(J6="A-aluminium","Hergebruik",IF(J6="C-aluminium","Recycling",IF(H6&gt;=4,"Hergebruik","Recycling")))</f>
        <v>Hergebruik</v>
      </c>
      <c r="L6" s="4" t="str">
        <f>IF(I6&gt;=75%,"Hoogwaardig","Laagwaardig")</f>
        <v>Laagwaardig</v>
      </c>
      <c r="M6" s="14">
        <v>48000</v>
      </c>
      <c r="N6" s="14">
        <v>2430</v>
      </c>
      <c r="O6" s="14">
        <v>5400</v>
      </c>
      <c r="P6" s="181">
        <v>2</v>
      </c>
      <c r="Q6" s="184">
        <v>20</v>
      </c>
      <c r="R6" s="182">
        <f>Tabel16[[#This Row],[Volume (m3)]]*Tabel16[[#This Row],[CO2-nieuw (kg)]]+Tabel16[[#This Row],[Volume (m3)]]*Tabel16[[#This Row],[Transport-impact ]]*Tabel16[[#This Row],[Transport afstand (km)]]</f>
        <v>192160</v>
      </c>
      <c r="S6" s="183">
        <f>Tabel16[[#This Row],[Volume (m3)]]*Tabel16[[#This Row],[CO2-Hergebruik (kg)]]+Tabel16[[#This Row],[Volume (m3)]]*Tabel16[[#This Row],[Transport afstand (km)]]*Tabel16[[#This Row],[Transport-impact ]]</f>
        <v>9880</v>
      </c>
      <c r="T6" s="183">
        <f>Tabel16[[#This Row],[Volume (m3)]]*Tabel16[[#This Row],[CO2- recycle (kg)]]+Tabel16[[#This Row],[Volume (m3)]]*Tabel16[[#This Row],[Transport afstand (km)]]*Tabel16[[#This Row],[Transport-impact ]]</f>
        <v>21760</v>
      </c>
      <c r="U6" s="49">
        <f>IF(V6="hergebruik",R6-S6,IF(V6="recycling",T6-S6,""))</f>
        <v>182280</v>
      </c>
      <c r="V6" s="49" t="str">
        <f t="shared" si="0"/>
        <v>Hergebruik</v>
      </c>
      <c r="W6" s="351">
        <f>Tabel16[[#This Row],[Volume (m3)]]*Tabel16[[#This Row],[Geschatte recovery rate (%)]]</f>
        <v>1.88</v>
      </c>
      <c r="X6" s="188">
        <f>IFERROR(VLOOKUP(J6,$A$10:$D$13,4,FALSE),0)</f>
        <v>382.5</v>
      </c>
      <c r="Y6" s="344">
        <f>Tabel16[[#This Row],[Verkoopbaar volume (m3)]]*Tabel16[[#This Row],[Verkoopprijs aan retailer per m³]]</f>
        <v>719.09999999999991</v>
      </c>
      <c r="Z6" s="345"/>
    </row>
    <row r="7" spans="1:37" s="2" customFormat="1">
      <c r="A7" s="352">
        <v>4</v>
      </c>
      <c r="B7" s="14" t="s">
        <v>372</v>
      </c>
      <c r="C7" s="14" t="s">
        <v>285</v>
      </c>
      <c r="D7" s="15">
        <v>4</v>
      </c>
      <c r="E7" s="125">
        <v>1</v>
      </c>
      <c r="F7" s="125">
        <v>2</v>
      </c>
      <c r="G7" s="125">
        <v>4</v>
      </c>
      <c r="H7" s="185">
        <f>IF(COUNTA(E7:G7)=0,"",AVERAGE(E7:G7))</f>
        <v>2.3333333333333335</v>
      </c>
      <c r="I7" s="353">
        <f>IFERROR(ROUND(Tabel16[[#This Row],[Gem. score]]/5,2),0)</f>
        <v>0.47</v>
      </c>
      <c r="J7" s="300" t="str">
        <f>IF(F5="","",IF(F5&gt;=4,"A-Aluminium",IF(F5&gt;=2.75,"B- Aluminium","C-Aluminium")))</f>
        <v>B- Aluminium</v>
      </c>
      <c r="K7" s="186" t="str">
        <f>IF(J7="A-aluminium","Hergebruik",IF(J7="C-aluminium","Recycling",IF(H7&gt;=4,"Hergebruik","Recycling")))</f>
        <v>Recycling</v>
      </c>
      <c r="L7" s="4" t="str">
        <f>IF(I7&gt;=75%,"Hoogwaardig","Laagwaardig")</f>
        <v>Laagwaardig</v>
      </c>
      <c r="M7" s="14">
        <v>48000</v>
      </c>
      <c r="N7" s="14">
        <v>2430</v>
      </c>
      <c r="O7" s="14">
        <v>5400</v>
      </c>
      <c r="P7" s="181">
        <v>2</v>
      </c>
      <c r="Q7" s="184">
        <v>20</v>
      </c>
      <c r="R7" s="182">
        <f>Tabel16[[#This Row],[Volume (m3)]]*Tabel16[[#This Row],[CO2-nieuw (kg)]]+Tabel16[[#This Row],[Volume (m3)]]*Tabel16[[#This Row],[Transport-impact ]]*Tabel16[[#This Row],[Transport afstand (km)]]</f>
        <v>192160</v>
      </c>
      <c r="S7" s="183">
        <f>Tabel16[[#This Row],[Volume (m3)]]*Tabel16[[#This Row],[CO2-Hergebruik (kg)]]+Tabel16[[#This Row],[Volume (m3)]]*Tabel16[[#This Row],[Transport afstand (km)]]*Tabel16[[#This Row],[Transport-impact ]]</f>
        <v>9880</v>
      </c>
      <c r="T7" s="183">
        <f>Tabel16[[#This Row],[Volume (m3)]]*Tabel16[[#This Row],[CO2- recycle (kg)]]+Tabel16[[#This Row],[Volume (m3)]]*Tabel16[[#This Row],[Transport afstand (km)]]*Tabel16[[#This Row],[Transport-impact ]]</f>
        <v>21760</v>
      </c>
      <c r="U7" s="49">
        <f>IF(V7="hergebruik",R7-S7,IF(V7="recycling",T7-S7,""))</f>
        <v>182280</v>
      </c>
      <c r="V7" s="49" t="str">
        <f t="shared" si="0"/>
        <v>Hergebruik</v>
      </c>
      <c r="W7" s="351">
        <f>Tabel16[[#This Row],[Volume (m3)]]*Tabel16[[#This Row],[Geschatte recovery rate (%)]]</f>
        <v>1.88</v>
      </c>
      <c r="X7" s="188">
        <f>IFERROR(VLOOKUP(J7,$A$10:$D$13,4,FALSE),0)</f>
        <v>280</v>
      </c>
      <c r="Y7" s="344">
        <f>Tabel16[[#This Row],[Verkoopbaar volume (m3)]]*Tabel16[[#This Row],[Verkoopprijs aan retailer per m³]]</f>
        <v>526.4</v>
      </c>
      <c r="Z7" s="345"/>
    </row>
    <row r="9" spans="1:37" s="2" customFormat="1" ht="28.8">
      <c r="A9" s="40" t="s">
        <v>287</v>
      </c>
      <c r="B9" s="42" t="s">
        <v>247</v>
      </c>
      <c r="C9" s="42" t="s">
        <v>248</v>
      </c>
      <c r="D9" s="42" t="s">
        <v>249</v>
      </c>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c r="AE9" s="345"/>
      <c r="AF9" s="345"/>
      <c r="AG9" s="345"/>
      <c r="AH9" s="345"/>
      <c r="AI9" s="345"/>
      <c r="AJ9" s="345"/>
      <c r="AK9" s="345"/>
    </row>
    <row r="10" spans="1:37" s="2" customFormat="1">
      <c r="A10" s="39" t="s">
        <v>437</v>
      </c>
      <c r="B10" s="60">
        <v>450</v>
      </c>
      <c r="C10" s="47">
        <v>0.85</v>
      </c>
      <c r="D10" s="61">
        <f>Tabel25[[#This Row],[Retail recyclingprijs per m³]]*Tabel25[[#This Row],[Metaalhandel-inkoopfactor]]</f>
        <v>382.5</v>
      </c>
      <c r="E10" s="345"/>
      <c r="F10" s="345"/>
      <c r="G10" s="345"/>
      <c r="H10" s="345"/>
      <c r="I10" s="345"/>
      <c r="J10" s="345"/>
      <c r="K10" s="345"/>
      <c r="L10" s="345"/>
      <c r="M10" s="345"/>
      <c r="N10" s="345"/>
      <c r="O10" s="345"/>
      <c r="P10" s="345"/>
      <c r="Q10" s="345"/>
      <c r="R10" s="345"/>
      <c r="S10" s="345"/>
      <c r="T10" s="345"/>
      <c r="U10" s="345"/>
      <c r="V10" s="345"/>
      <c r="W10" s="345"/>
      <c r="X10" s="345"/>
      <c r="Y10" s="345"/>
      <c r="Z10" s="345"/>
      <c r="AA10" s="345"/>
      <c r="AB10" s="345"/>
      <c r="AC10" s="345"/>
      <c r="AD10" s="345"/>
      <c r="AE10" s="345"/>
      <c r="AF10" s="345"/>
      <c r="AG10" s="345"/>
      <c r="AH10" s="345"/>
      <c r="AI10" s="345"/>
      <c r="AJ10" s="345"/>
      <c r="AK10" s="345"/>
    </row>
    <row r="11" spans="1:37" s="2" customFormat="1" ht="15.6">
      <c r="A11" s="39" t="s">
        <v>436</v>
      </c>
      <c r="B11" s="60">
        <v>350</v>
      </c>
      <c r="C11" s="47">
        <v>0.8</v>
      </c>
      <c r="D11" s="61">
        <f>Tabel25[[#This Row],[Retail recyclingprijs per m³]]*Tabel25[[#This Row],[Metaalhandel-inkoopfactor]]</f>
        <v>280</v>
      </c>
      <c r="E11" s="345"/>
      <c r="F11" s="345"/>
      <c r="G11" s="345"/>
      <c r="H11" s="327"/>
      <c r="I11" s="345"/>
      <c r="J11" s="345"/>
      <c r="K11" s="345"/>
      <c r="L11" s="345"/>
      <c r="M11" s="345"/>
      <c r="N11" s="345"/>
      <c r="O11" s="345"/>
      <c r="P11" s="345"/>
      <c r="Q11" s="345"/>
      <c r="R11" s="345"/>
      <c r="S11" s="345"/>
      <c r="T11" s="345"/>
      <c r="U11" s="345"/>
      <c r="V11" s="345"/>
      <c r="W11" s="345"/>
      <c r="X11" s="345"/>
      <c r="Y11" s="345"/>
      <c r="Z11" s="345"/>
      <c r="AA11" s="345"/>
      <c r="AB11" s="345"/>
      <c r="AC11" s="345"/>
      <c r="AD11" s="345"/>
      <c r="AE11" s="345"/>
      <c r="AF11" s="345"/>
      <c r="AG11" s="345"/>
      <c r="AH11" s="345"/>
      <c r="AI11" s="345"/>
      <c r="AJ11" s="345"/>
      <c r="AK11" s="345"/>
    </row>
    <row r="12" spans="1:37" s="2" customFormat="1">
      <c r="A12" s="39" t="s">
        <v>438</v>
      </c>
      <c r="B12" s="60">
        <v>250</v>
      </c>
      <c r="C12" s="47">
        <v>0.65</v>
      </c>
      <c r="D12" s="61">
        <f>Tabel25[[#This Row],[Retail recyclingprijs per m³]]*Tabel25[[#This Row],[Metaalhandel-inkoopfactor]]</f>
        <v>162.5</v>
      </c>
      <c r="E12" s="345"/>
      <c r="F12" s="345"/>
      <c r="G12" s="345"/>
      <c r="H12" s="193"/>
      <c r="I12" s="345"/>
      <c r="J12" s="345"/>
      <c r="K12" s="345"/>
      <c r="L12" s="345"/>
      <c r="M12" s="345"/>
      <c r="N12" s="345"/>
      <c r="O12" s="345"/>
      <c r="P12" s="345"/>
      <c r="Q12" s="345"/>
      <c r="R12" s="345"/>
      <c r="S12" s="345"/>
      <c r="T12" s="345"/>
      <c r="U12" s="345"/>
      <c r="V12" s="345"/>
      <c r="W12" s="345"/>
      <c r="X12" s="345"/>
      <c r="Y12" s="345"/>
      <c r="Z12" s="345"/>
      <c r="AA12" s="345"/>
      <c r="AB12" s="345"/>
      <c r="AC12" s="345"/>
      <c r="AD12" s="345"/>
      <c r="AE12" s="345"/>
      <c r="AF12" s="345"/>
      <c r="AG12" s="345"/>
      <c r="AH12" s="345"/>
      <c r="AI12" s="345"/>
      <c r="AJ12" s="345"/>
      <c r="AK12" s="345"/>
    </row>
    <row r="13" spans="1:37" s="2" customFormat="1" ht="28.8">
      <c r="A13" s="39" t="s">
        <v>286</v>
      </c>
      <c r="B13" s="60">
        <v>500</v>
      </c>
      <c r="C13" s="47">
        <v>0.85</v>
      </c>
      <c r="D13" s="61">
        <f>Tabel25[[#This Row],[Retail recyclingprijs per m³]]*Tabel25[[#This Row],[Metaalhandel-inkoopfactor]]</f>
        <v>425</v>
      </c>
      <c r="E13" s="345"/>
      <c r="F13" s="345"/>
      <c r="G13" s="345"/>
      <c r="H13" s="327"/>
      <c r="I13" s="345"/>
      <c r="J13" s="345"/>
      <c r="K13" s="345"/>
      <c r="L13" s="345"/>
      <c r="M13" s="345"/>
      <c r="N13" s="345"/>
      <c r="O13" s="345"/>
      <c r="P13" s="345"/>
      <c r="Q13" s="345"/>
      <c r="R13" s="345"/>
      <c r="S13" s="345"/>
      <c r="T13" s="345"/>
      <c r="U13" s="345"/>
      <c r="V13" s="345"/>
      <c r="W13" s="345"/>
      <c r="X13" s="345"/>
      <c r="Y13" s="345"/>
      <c r="Z13" s="345"/>
      <c r="AA13" s="345"/>
      <c r="AB13" s="345"/>
      <c r="AC13" s="345"/>
      <c r="AD13" s="345"/>
      <c r="AE13" s="345"/>
      <c r="AF13" s="345"/>
      <c r="AG13" s="345"/>
      <c r="AH13" s="345"/>
      <c r="AI13" s="345"/>
      <c r="AJ13" s="345"/>
      <c r="AK13" s="345"/>
    </row>
    <row r="14" spans="1:37">
      <c r="H14" s="193"/>
    </row>
  </sheetData>
  <mergeCells count="4">
    <mergeCell ref="A1:E1"/>
    <mergeCell ref="M1:V1"/>
    <mergeCell ref="W1:Y1"/>
    <mergeCell ref="F1:L1"/>
  </mergeCells>
  <conditionalFormatting sqref="K3:K7">
    <cfRule type="colorScale" priority="1">
      <colorScale>
        <cfvo type="min"/>
        <cfvo type="percentile" val="50"/>
        <cfvo type="max"/>
        <color rgb="FFFEE2E2"/>
        <color rgb="FFFEF3C7"/>
        <color rgb="FFDCFCE7"/>
      </colorScale>
    </cfRule>
  </conditionalFormatting>
  <conditionalFormatting sqref="I3:I7">
    <cfRule type="colorScale" priority="256">
      <colorScale>
        <cfvo type="min"/>
        <cfvo type="percentile" val="50"/>
        <cfvo type="max"/>
        <color rgb="FFFEE2E2"/>
        <color rgb="FFFEF3C7"/>
        <color rgb="FFDCFCE7"/>
      </colorScale>
    </cfRule>
  </conditionalFormatting>
  <conditionalFormatting sqref="Q3:Q7">
    <cfRule type="colorScale" priority="257">
      <colorScale>
        <cfvo type="min"/>
        <cfvo type="percentile" val="50"/>
        <cfvo type="max"/>
        <color rgb="FFFEE2E2"/>
        <color rgb="FFFEF3C7"/>
        <color rgb="FFDCFCE7"/>
      </colorScale>
    </cfRule>
  </conditionalFormatting>
  <dataValidations count="2">
    <dataValidation type="list" sqref="C3:C7 J3" xr:uid="{00000000-0002-0000-0600-000001000000}">
      <formula1>"Staal,Hout,Beton,Aluminium,Koper,Keramiek,Bitumen,Overig"</formula1>
    </dataValidation>
    <dataValidation type="list" sqref="N3:P7 E3:G7" xr:uid="{00000000-0002-0000-0600-000003000000}">
      <formula1>"1,2,3,4,5"</formula1>
    </dataValidation>
  </dataValidations>
  <pageMargins left="0.7" right="0.7" top="0.75" bottom="0.75" header="0.3" footer="0.3"/>
  <drawing r:id="rId1"/>
  <legacy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07D3-9158-45AC-8520-BCCFC9F43AE7}">
  <dimension ref="A1:K11"/>
  <sheetViews>
    <sheetView workbookViewId="0">
      <selection activeCell="G3" sqref="G3"/>
    </sheetView>
  </sheetViews>
  <sheetFormatPr defaultColWidth="0" defaultRowHeight="14.4" zeroHeight="1"/>
  <cols>
    <col min="1" max="1" width="17.109375" customWidth="1"/>
    <col min="2" max="2" width="35.77734375" customWidth="1"/>
    <col min="3" max="3" width="44.109375" customWidth="1"/>
    <col min="4" max="4" width="41.109375" style="193" customWidth="1"/>
    <col min="5" max="5" width="5.109375" style="193" customWidth="1"/>
    <col min="6" max="6" width="26.77734375" style="193" customWidth="1"/>
    <col min="7" max="7" width="34.109375" style="193" customWidth="1"/>
    <col min="8" max="8" width="54.77734375" style="193" customWidth="1"/>
    <col min="9" max="9" width="36.77734375" style="193" customWidth="1"/>
    <col min="10" max="10" width="65.109375" style="193" customWidth="1"/>
    <col min="11" max="11" width="8.77734375" style="193" customWidth="1"/>
    <col min="12" max="16384" width="8.77734375" hidden="1"/>
  </cols>
  <sheetData>
    <row r="1" spans="1:10">
      <c r="A1" s="48" t="s">
        <v>2</v>
      </c>
      <c r="B1" s="48" t="s">
        <v>31</v>
      </c>
      <c r="C1" s="48" t="s">
        <v>110</v>
      </c>
      <c r="D1" s="48" t="s">
        <v>111</v>
      </c>
      <c r="F1" s="189" t="s">
        <v>2</v>
      </c>
      <c r="G1" s="189" t="s">
        <v>112</v>
      </c>
      <c r="H1" s="189" t="s">
        <v>113</v>
      </c>
      <c r="I1" s="189" t="s">
        <v>114</v>
      </c>
      <c r="J1" s="189" t="s">
        <v>115</v>
      </c>
    </row>
    <row r="2" spans="1:10" ht="28.8">
      <c r="A2" s="36" t="s">
        <v>281</v>
      </c>
      <c r="B2" s="45" t="s">
        <v>288</v>
      </c>
      <c r="C2" s="45" t="s">
        <v>289</v>
      </c>
      <c r="D2" s="45" t="s">
        <v>290</v>
      </c>
      <c r="F2" s="191" t="s">
        <v>280</v>
      </c>
      <c r="G2" s="82" t="s">
        <v>291</v>
      </c>
      <c r="H2" s="82" t="s">
        <v>292</v>
      </c>
      <c r="I2" s="82" t="s">
        <v>293</v>
      </c>
      <c r="J2" s="82" t="s">
        <v>294</v>
      </c>
    </row>
    <row r="3" spans="1:10" ht="43.2">
      <c r="A3" s="36" t="s">
        <v>283</v>
      </c>
      <c r="B3" s="45" t="s">
        <v>295</v>
      </c>
      <c r="C3" s="45" t="s">
        <v>170</v>
      </c>
      <c r="D3" s="45" t="s">
        <v>296</v>
      </c>
      <c r="F3" s="191" t="s">
        <v>282</v>
      </c>
      <c r="G3" s="82" t="s">
        <v>297</v>
      </c>
      <c r="H3" s="82" t="s">
        <v>298</v>
      </c>
      <c r="I3" s="82" t="s">
        <v>299</v>
      </c>
      <c r="J3" s="82" t="s">
        <v>300</v>
      </c>
    </row>
    <row r="4" spans="1:10" ht="43.2">
      <c r="A4" s="36" t="s">
        <v>301</v>
      </c>
      <c r="B4" s="45" t="s">
        <v>302</v>
      </c>
      <c r="C4" s="45" t="s">
        <v>303</v>
      </c>
      <c r="D4" s="45" t="s">
        <v>304</v>
      </c>
      <c r="F4" s="191" t="s">
        <v>284</v>
      </c>
      <c r="G4" s="82" t="s">
        <v>369</v>
      </c>
      <c r="H4" s="82" t="s">
        <v>305</v>
      </c>
      <c r="I4" s="82" t="s">
        <v>306</v>
      </c>
      <c r="J4" s="82" t="s">
        <v>307</v>
      </c>
    </row>
    <row r="5" spans="1:10" ht="57.6">
      <c r="A5" s="36" t="s">
        <v>308</v>
      </c>
      <c r="B5" s="45" t="s">
        <v>309</v>
      </c>
      <c r="C5" s="45" t="s">
        <v>310</v>
      </c>
      <c r="D5" s="45" t="s">
        <v>311</v>
      </c>
      <c r="F5" s="191" t="s">
        <v>285</v>
      </c>
      <c r="G5" s="82" t="s">
        <v>371</v>
      </c>
      <c r="H5" s="82" t="s">
        <v>312</v>
      </c>
      <c r="I5" s="82" t="s">
        <v>313</v>
      </c>
      <c r="J5" s="82" t="s">
        <v>300</v>
      </c>
    </row>
    <row r="6" spans="1:10" s="193" customFormat="1"/>
    <row r="7" spans="1:10">
      <c r="A7" s="42" t="s">
        <v>406</v>
      </c>
      <c r="B7" s="40" t="s">
        <v>30</v>
      </c>
      <c r="C7" s="40" t="s">
        <v>378</v>
      </c>
    </row>
    <row r="8" spans="1:10" ht="28.8">
      <c r="A8" s="41" t="s">
        <v>399</v>
      </c>
      <c r="B8" s="39" t="s">
        <v>382</v>
      </c>
      <c r="C8" s="39" t="s">
        <v>400</v>
      </c>
    </row>
    <row r="9" spans="1:10" ht="28.8">
      <c r="A9" s="41" t="s">
        <v>401</v>
      </c>
      <c r="B9" s="39" t="s">
        <v>385</v>
      </c>
      <c r="C9" s="39" t="s">
        <v>402</v>
      </c>
    </row>
    <row r="10" spans="1:10" ht="28.8">
      <c r="A10" s="41" t="s">
        <v>403</v>
      </c>
      <c r="B10" s="39" t="s">
        <v>36</v>
      </c>
      <c r="C10" s="39" t="s">
        <v>404</v>
      </c>
    </row>
    <row r="11" spans="1:10" s="193" customFormat="1"/>
  </sheetData>
  <pageMargins left="0.7" right="0.7" top="0.75" bottom="0.75" header="0.3" footer="0.3"/>
  <tableParts count="3">
    <tablePart r:id="rId1"/>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E3D3-1365-4933-941D-BA003E0D41FF}">
  <dimension ref="A1:B11"/>
  <sheetViews>
    <sheetView workbookViewId="0">
      <selection activeCell="J22" sqref="J22"/>
    </sheetView>
  </sheetViews>
  <sheetFormatPr defaultColWidth="8.77734375" defaultRowHeight="14.4"/>
  <cols>
    <col min="1" max="1" width="12.109375" bestFit="1" customWidth="1"/>
    <col min="2" max="2" width="13.109375" customWidth="1"/>
  </cols>
  <sheetData>
    <row r="1" spans="1:2">
      <c r="A1" s="201" t="s">
        <v>144</v>
      </c>
      <c r="B1" s="201" t="s">
        <v>145</v>
      </c>
    </row>
    <row r="2" spans="1:2">
      <c r="A2" s="202" t="s">
        <v>58</v>
      </c>
      <c r="B2" s="202">
        <v>0.01</v>
      </c>
    </row>
    <row r="3" spans="1:2">
      <c r="A3" s="203" t="s">
        <v>60</v>
      </c>
      <c r="B3" s="203">
        <v>0</v>
      </c>
    </row>
    <row r="4" spans="1:2">
      <c r="A4" s="203" t="s">
        <v>61</v>
      </c>
      <c r="B4" s="203">
        <v>0</v>
      </c>
    </row>
    <row r="5" spans="1:2">
      <c r="A5" s="203" t="s">
        <v>64</v>
      </c>
      <c r="B5" s="203">
        <v>0</v>
      </c>
    </row>
    <row r="6" spans="1:2">
      <c r="A6" s="203" t="s">
        <v>67</v>
      </c>
      <c r="B6" s="203">
        <v>0.01</v>
      </c>
    </row>
    <row r="7" spans="1:2">
      <c r="A7" s="203" t="s">
        <v>68</v>
      </c>
      <c r="B7" s="203">
        <v>0</v>
      </c>
    </row>
    <row r="8" spans="1:2">
      <c r="A8" s="203" t="s">
        <v>69</v>
      </c>
      <c r="B8" s="203">
        <v>0</v>
      </c>
    </row>
    <row r="9" spans="1:2">
      <c r="A9" s="203" t="s">
        <v>70</v>
      </c>
      <c r="B9" s="203">
        <v>0</v>
      </c>
    </row>
    <row r="10" spans="1:2">
      <c r="A10" s="203" t="s">
        <v>71</v>
      </c>
      <c r="B10" s="203">
        <v>0</v>
      </c>
    </row>
    <row r="11" spans="1:2">
      <c r="A11" s="203" t="s">
        <v>72</v>
      </c>
      <c r="B11" s="203">
        <v>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Z17"/>
  <sheetViews>
    <sheetView zoomScale="90" zoomScaleNormal="90" workbookViewId="0">
      <selection activeCell="W2" sqref="W2"/>
    </sheetView>
  </sheetViews>
  <sheetFormatPr defaultColWidth="0" defaultRowHeight="14.4" zeroHeight="1"/>
  <cols>
    <col min="1" max="2" width="13.109375" customWidth="1"/>
    <col min="3" max="3" width="18.109375" bestFit="1" customWidth="1"/>
    <col min="4" max="4" width="13.44140625" customWidth="1"/>
    <col min="5" max="5" width="18" customWidth="1"/>
    <col min="6" max="6" width="22.109375" bestFit="1" customWidth="1"/>
    <col min="7" max="7" width="20.77734375" customWidth="1"/>
    <col min="8" max="8" width="20.109375" customWidth="1"/>
    <col min="9" max="12" width="18" customWidth="1"/>
    <col min="13" max="13" width="16" customWidth="1"/>
    <col min="14" max="14" width="15.77734375" customWidth="1"/>
    <col min="15" max="15" width="18" customWidth="1"/>
    <col min="16" max="16" width="22" customWidth="1"/>
    <col min="17" max="17" width="20" customWidth="1"/>
    <col min="18" max="19" width="18" customWidth="1"/>
    <col min="20" max="21" width="16" customWidth="1"/>
    <col min="22" max="22" width="18.44140625" bestFit="1" customWidth="1"/>
    <col min="23" max="23" width="19.77734375" bestFit="1" customWidth="1"/>
    <col min="24" max="24" width="42" customWidth="1"/>
    <col min="25" max="25" width="16.109375" bestFit="1" customWidth="1"/>
    <col min="26" max="26" width="12.77734375" style="368" bestFit="1" customWidth="1"/>
    <col min="27" max="16384" width="8.77734375" hidden="1"/>
  </cols>
  <sheetData>
    <row r="1" spans="1:26" ht="18" thickBot="1">
      <c r="A1" s="355" t="s">
        <v>75</v>
      </c>
      <c r="B1" s="355"/>
      <c r="C1" s="355"/>
      <c r="D1" s="355"/>
      <c r="E1" s="355"/>
      <c r="F1" s="357" t="s">
        <v>76</v>
      </c>
      <c r="G1" s="357"/>
      <c r="H1" s="357"/>
      <c r="I1" s="357"/>
      <c r="J1" s="357"/>
      <c r="K1" s="357"/>
      <c r="L1" s="357"/>
      <c r="M1" s="355" t="s">
        <v>77</v>
      </c>
      <c r="N1" s="355"/>
      <c r="O1" s="355"/>
      <c r="P1" s="355"/>
      <c r="Q1" s="355"/>
      <c r="R1" s="355"/>
      <c r="S1" s="355"/>
      <c r="T1" s="355"/>
      <c r="U1" s="355"/>
      <c r="V1" s="355"/>
      <c r="W1" s="367" t="s">
        <v>78</v>
      </c>
      <c r="X1" s="356"/>
      <c r="Y1" s="356"/>
      <c r="Z1" s="330"/>
    </row>
    <row r="2" spans="1:26" ht="46.95" customHeight="1" thickBot="1">
      <c r="A2" s="32" t="s">
        <v>79</v>
      </c>
      <c r="B2" s="141" t="s">
        <v>80</v>
      </c>
      <c r="C2" s="142" t="s">
        <v>81</v>
      </c>
      <c r="D2" s="205" t="s">
        <v>314</v>
      </c>
      <c r="E2" s="205" t="s">
        <v>146</v>
      </c>
      <c r="F2" s="205" t="s">
        <v>44</v>
      </c>
      <c r="G2" s="205" t="s">
        <v>45</v>
      </c>
      <c r="H2" s="33" t="s">
        <v>83</v>
      </c>
      <c r="I2" s="71" t="s">
        <v>84</v>
      </c>
      <c r="J2" s="33" t="s">
        <v>47</v>
      </c>
      <c r="K2" s="68" t="s">
        <v>30</v>
      </c>
      <c r="L2" s="94" t="s">
        <v>86</v>
      </c>
      <c r="M2" s="102" t="s">
        <v>87</v>
      </c>
      <c r="N2" s="103" t="s">
        <v>88</v>
      </c>
      <c r="O2" s="103" t="s">
        <v>89</v>
      </c>
      <c r="P2" s="200" t="s">
        <v>374</v>
      </c>
      <c r="Q2" s="200" t="s">
        <v>90</v>
      </c>
      <c r="R2" s="95" t="s">
        <v>147</v>
      </c>
      <c r="S2" s="95" t="s">
        <v>49</v>
      </c>
      <c r="T2" s="95" t="s">
        <v>50</v>
      </c>
      <c r="U2" s="95" t="s">
        <v>59</v>
      </c>
      <c r="V2" s="96" t="s">
        <v>92</v>
      </c>
      <c r="W2" s="40" t="s">
        <v>375</v>
      </c>
      <c r="X2" t="s">
        <v>93</v>
      </c>
      <c r="Y2" s="2" t="s">
        <v>55</v>
      </c>
    </row>
    <row r="3" spans="1:26" ht="14.7" customHeight="1">
      <c r="A3" s="18"/>
      <c r="B3" s="3"/>
      <c r="C3" s="6" t="s">
        <v>58</v>
      </c>
      <c r="D3" s="28">
        <v>10</v>
      </c>
      <c r="E3" s="19"/>
      <c r="F3" s="19"/>
      <c r="G3" s="19"/>
      <c r="H3" s="99">
        <f>AVERAGE(H4:H7)</f>
        <v>1.6666666666666667</v>
      </c>
      <c r="I3" s="72">
        <f>IFERROR(ROUND(Tabel13[[#This Row],[Gem. score]]/5,2),0)</f>
        <v>0.33</v>
      </c>
      <c r="J3" s="28"/>
      <c r="K3" s="139" t="str">
        <f>IF(D3="A-aluminium","Hergebruik",IF(D3="C-aluminium","Recycling",IF(H3&gt;=4,"Hergebruik","Recycling")))</f>
        <v>Recycling</v>
      </c>
      <c r="L3" s="93" t="str">
        <f t="shared" ref="L3" si="0">IF(K3&gt;=75%,"Hoogwaardig","Laagwaardig")</f>
        <v>Hoogwaardig</v>
      </c>
      <c r="M3" s="97">
        <v>800</v>
      </c>
      <c r="N3" s="29">
        <v>30</v>
      </c>
      <c r="O3" s="29">
        <v>90</v>
      </c>
      <c r="P3" s="30">
        <v>4</v>
      </c>
      <c r="Q3" s="31">
        <v>50</v>
      </c>
      <c r="R3" s="73">
        <f>Tabel13[[#This Row],[Volume (m2)]]*Tabel13[[#This Row],[CO2-nieuw (kg)]]+Tabel13[[#This Row],[Volume (m2)]]*Tabel13[[#This Row],[Transport-impact ]]*Tabel13[[#This Row],[Transport afstand (km)]]</f>
        <v>10000</v>
      </c>
      <c r="S3" s="65">
        <f>Tabel13[[#This Row],[Volume (m2)]]*Tabel13[[#This Row],[CO2-Hergebruik (kg)]]+Tabel13[[#This Row],[Volume (m2)]]*Tabel13[[#This Row],[Transport afstand (km)]]*Tabel13[[#This Row],[Transport-impact ]]</f>
        <v>2300</v>
      </c>
      <c r="T3" s="65">
        <f>Tabel13[[#This Row],[Volume (m2)]]*Tabel13[[#This Row],[CO2- recycle (kg)]]+Tabel13[[#This Row],[Volume (m2)]]*Tabel13[[#This Row],[Transport afstand (km)]]*Tabel13[[#This Row],[Transport-impact ]]</f>
        <v>2900</v>
      </c>
      <c r="U3" s="49">
        <f>IF(V3="hergebruik",R3-S3,IF(V3="recycling",T3-S3,""))</f>
        <v>7700</v>
      </c>
      <c r="V3" s="98" t="str">
        <f t="shared" ref="V3:V7" si="1">IF(S3=MIN(R3:T3),"Hergebruik",IF(T3=MIN(R3:T3),"Recycling","Nieuw"))</f>
        <v>Hergebruik</v>
      </c>
      <c r="W3" s="84"/>
      <c r="X3" s="43">
        <f>IFERROR(VLOOKUP(#REF!,$A$18:$D$22,4,FALSE),0)</f>
        <v>0</v>
      </c>
      <c r="Y3" s="344">
        <f>Tabel13[[#This Row],[Verkoopprijs aan retailer per m³]]*Tabel13[[#This Row],[Verkoopbaar volume (m3)]]</f>
        <v>0</v>
      </c>
    </row>
    <row r="4" spans="1:26" ht="14.7" customHeight="1">
      <c r="A4" s="21">
        <v>1</v>
      </c>
      <c r="B4" s="7"/>
      <c r="C4" s="143" t="s">
        <v>315</v>
      </c>
      <c r="D4" s="28">
        <v>10</v>
      </c>
      <c r="E4" s="7">
        <v>1</v>
      </c>
      <c r="F4" s="7">
        <v>3</v>
      </c>
      <c r="G4" s="7">
        <v>2</v>
      </c>
      <c r="H4" s="8">
        <f>IF(COUNTA(E4:G4)=0,"",AVERAGE(E4:G4))</f>
        <v>2</v>
      </c>
      <c r="I4" s="72">
        <f>IFERROR(ROUND(Tabel13[[#This Row],[Gem. score]]/5,2),0)</f>
        <v>0.4</v>
      </c>
      <c r="J4" s="10"/>
      <c r="K4" s="138" t="str">
        <f>IF(D4="A-aluminium","Hergebruik",IF(D4="C-aluminium","Recycling",IF(H4&gt;=4,"Hergebruik","Recycling")))</f>
        <v>Recycling</v>
      </c>
      <c r="L4" s="93" t="str">
        <f>IF(I4&gt;=75%,"Hoogwaardig","Laagwaardig")</f>
        <v>Laagwaardig</v>
      </c>
      <c r="M4" s="97">
        <v>800</v>
      </c>
      <c r="N4" s="29">
        <v>30</v>
      </c>
      <c r="O4" s="29">
        <v>90</v>
      </c>
      <c r="P4" s="7">
        <v>2</v>
      </c>
      <c r="Q4" s="13">
        <v>30</v>
      </c>
      <c r="R4" s="65">
        <f>Tabel13[[#This Row],[Volume (m2)]]*Tabel13[[#This Row],[CO2-nieuw (kg)]]+Tabel13[[#This Row],[Volume (m2)]]*Tabel13[[#This Row],[Transport-impact ]]*Tabel13[[#This Row],[Transport afstand (km)]]</f>
        <v>8600</v>
      </c>
      <c r="S4" s="65">
        <f>Tabel13[[#This Row],[Volume (m2)]]*Tabel13[[#This Row],[CO2-Hergebruik (kg)]]+Tabel13[[#This Row],[Volume (m2)]]*Tabel13[[#This Row],[Transport afstand (km)]]*Tabel13[[#This Row],[Transport-impact ]]</f>
        <v>900</v>
      </c>
      <c r="T4" s="65">
        <f>Tabel13[[#This Row],[Volume (m2)]]*Tabel13[[#This Row],[CO2- recycle (kg)]]+Tabel13[[#This Row],[Volume (m2)]]*Tabel13[[#This Row],[Transport afstand (km)]]*Tabel13[[#This Row],[Transport-impact ]]</f>
        <v>1500</v>
      </c>
      <c r="U4" s="49">
        <f>IF(V4="hergebruik",R4-S4,IF(V4="recycling",T4-S4,""))</f>
        <v>7700</v>
      </c>
      <c r="V4" s="87" t="str">
        <f t="shared" si="1"/>
        <v>Hergebruik</v>
      </c>
      <c r="W4" s="84">
        <f>Tabel113[[#This Row],[Volume (m3)]]*Tabel113[[#This Row],[Geschatte recovery rate (%)]]</f>
        <v>17.399999999999999</v>
      </c>
      <c r="X4" s="44">
        <f>IFERROR(VLOOKUP(#REF!,$A$18:$D$22,4,FALSE),0)</f>
        <v>0</v>
      </c>
      <c r="Y4" s="344">
        <f>Tabel13[[#This Row],[Verkoopprijs aan retailer per m³]]*Tabel13[[#This Row],[Verkoopbaar volume (m3)]]</f>
        <v>0</v>
      </c>
    </row>
    <row r="5" spans="1:26" ht="14.7" customHeight="1">
      <c r="A5" s="21">
        <v>2</v>
      </c>
      <c r="B5" s="7"/>
      <c r="C5" s="144" t="s">
        <v>316</v>
      </c>
      <c r="D5" s="28">
        <v>10</v>
      </c>
      <c r="E5" s="7">
        <v>1</v>
      </c>
      <c r="F5" s="7">
        <v>3</v>
      </c>
      <c r="G5" s="7">
        <v>1</v>
      </c>
      <c r="H5" s="8">
        <f>IF(COUNTA(E5:G5)=0,"",AVERAGE(E5:G5))</f>
        <v>1.6666666666666667</v>
      </c>
      <c r="I5" s="72">
        <f>IFERROR(ROUND(Tabel13[[#This Row],[Gem. score]]/5,2),0)</f>
        <v>0.33</v>
      </c>
      <c r="J5" s="10"/>
      <c r="K5" s="138" t="str">
        <f>IF(D5="A-aluminium","Hergebruik",IF(D5="C-aluminium","Recycling",IF(H5&gt;=4,"Hergebruik","Recycling")))</f>
        <v>Recycling</v>
      </c>
      <c r="L5" s="93" t="str">
        <f>IF(I5&gt;=75%,"Hoogwaardig","Laagwaardig")</f>
        <v>Laagwaardig</v>
      </c>
      <c r="M5" s="97">
        <v>800</v>
      </c>
      <c r="N5" s="29">
        <v>30</v>
      </c>
      <c r="O5" s="29">
        <v>90</v>
      </c>
      <c r="P5" s="7">
        <v>3</v>
      </c>
      <c r="Q5" s="13">
        <v>10</v>
      </c>
      <c r="R5" s="65">
        <f>Tabel13[[#This Row],[Volume (m2)]]*Tabel13[[#This Row],[CO2-nieuw (kg)]]+Tabel13[[#This Row],[Volume (m2)]]*Tabel13[[#This Row],[Transport-impact ]]*Tabel13[[#This Row],[Transport afstand (km)]]</f>
        <v>8300</v>
      </c>
      <c r="S5" s="65">
        <f>Tabel13[[#This Row],[Volume (m2)]]*Tabel13[[#This Row],[CO2-Hergebruik (kg)]]+Tabel13[[#This Row],[Volume (m2)]]*Tabel13[[#This Row],[Transport afstand (km)]]*Tabel13[[#This Row],[Transport-impact ]]</f>
        <v>600</v>
      </c>
      <c r="T5" s="65">
        <f>Tabel13[[#This Row],[Volume (m2)]]*Tabel13[[#This Row],[CO2- recycle (kg)]]+Tabel13[[#This Row],[Volume (m2)]]*Tabel13[[#This Row],[Transport afstand (km)]]*Tabel13[[#This Row],[Transport-impact ]]</f>
        <v>1200</v>
      </c>
      <c r="U5" s="49">
        <f>IF(V5="hergebruik",R5-S5,IF(V5="recycling",T5-S5,""))</f>
        <v>7700</v>
      </c>
      <c r="V5" s="87" t="str">
        <f t="shared" si="1"/>
        <v>Hergebruik</v>
      </c>
      <c r="W5" s="84">
        <f>Tabel113[[#This Row],[Volume (m3)]]*Tabel113[[#This Row],[Geschatte recovery rate (%)]]</f>
        <v>8</v>
      </c>
      <c r="X5" s="44">
        <f>IFERROR(VLOOKUP(#REF!,$A$18:$D$22,4,FALSE),0)</f>
        <v>0</v>
      </c>
      <c r="Y5" s="344">
        <f>Tabel13[[#This Row],[Verkoopprijs aan retailer per m³]]*Tabel13[[#This Row],[Verkoopbaar volume (m3)]]</f>
        <v>0</v>
      </c>
    </row>
    <row r="6" spans="1:26" ht="14.7" customHeight="1">
      <c r="A6" s="21">
        <v>3</v>
      </c>
      <c r="B6" s="7"/>
      <c r="C6" s="143" t="s">
        <v>317</v>
      </c>
      <c r="D6" s="28">
        <v>10</v>
      </c>
      <c r="E6" s="14">
        <v>1</v>
      </c>
      <c r="F6" s="14">
        <v>3</v>
      </c>
      <c r="G6" s="14">
        <v>1</v>
      </c>
      <c r="H6" s="23">
        <f>IF(COUNTA(E6:G6)=0,"",AVERAGE(E6:G6))</f>
        <v>1.6666666666666667</v>
      </c>
      <c r="I6" s="72">
        <f>IFERROR(ROUND(Tabel13[[#This Row],[Gem. score]]/5,2),0)</f>
        <v>0.33</v>
      </c>
      <c r="J6" s="10"/>
      <c r="K6" s="138" t="str">
        <f>IF(D6="A-aluminium","Hergebruik",IF(D6="C-aluminium","Recycling",IF(H6&gt;=4,"Hergebruik","Recycling")))</f>
        <v>Recycling</v>
      </c>
      <c r="L6" s="93" t="str">
        <f>IF(I6&gt;=75%,"Hoogwaardig","Laagwaardig")</f>
        <v>Laagwaardig</v>
      </c>
      <c r="M6" s="97">
        <v>800</v>
      </c>
      <c r="N6" s="29">
        <v>30</v>
      </c>
      <c r="O6" s="29">
        <v>90</v>
      </c>
      <c r="P6" s="7">
        <v>4</v>
      </c>
      <c r="Q6" s="13">
        <v>80</v>
      </c>
      <c r="R6" s="65">
        <f>Tabel13[[#This Row],[Volume (m2)]]*Tabel13[[#This Row],[CO2-nieuw (kg)]]+Tabel13[[#This Row],[Volume (m2)]]*Tabel13[[#This Row],[Transport-impact ]]*Tabel13[[#This Row],[Transport afstand (km)]]</f>
        <v>11200</v>
      </c>
      <c r="S6" s="65">
        <f>Tabel13[[#This Row],[Volume (m2)]]*Tabel13[[#This Row],[CO2-Hergebruik (kg)]]+Tabel13[[#This Row],[Volume (m2)]]*Tabel13[[#This Row],[Transport afstand (km)]]*Tabel13[[#This Row],[Transport-impact ]]</f>
        <v>3500</v>
      </c>
      <c r="T6" s="65">
        <f>Tabel13[[#This Row],[Volume (m2)]]*Tabel13[[#This Row],[CO2- recycle (kg)]]+Tabel13[[#This Row],[Volume (m2)]]*Tabel13[[#This Row],[Transport afstand (km)]]*Tabel13[[#This Row],[Transport-impact ]]</f>
        <v>4100</v>
      </c>
      <c r="U6" s="49">
        <f>IF(V6="hergebruik",R6-S6,IF(V6="recycling",T6-S6,""))</f>
        <v>7700</v>
      </c>
      <c r="V6" s="87" t="str">
        <f t="shared" si="1"/>
        <v>Hergebruik</v>
      </c>
      <c r="W6" s="84">
        <f>Tabel113[[#This Row],[Volume (m3)]]*Tabel113[[#This Row],[Geschatte recovery rate (%)]]</f>
        <v>7.9899999999999999E-2</v>
      </c>
      <c r="X6" s="44">
        <f>IFERROR(VLOOKUP(#REF!,$A$18:$D$22,4,FALSE),0)</f>
        <v>0</v>
      </c>
      <c r="Y6" s="344">
        <f>Tabel13[[#This Row],[Verkoopprijs aan retailer per m³]]*Tabel13[[#This Row],[Verkoopbaar volume (m3)]]</f>
        <v>0</v>
      </c>
    </row>
    <row r="7" spans="1:26" ht="14.7" customHeight="1">
      <c r="A7" s="24">
        <v>4</v>
      </c>
      <c r="B7" s="7"/>
      <c r="C7" s="144" t="s">
        <v>318</v>
      </c>
      <c r="D7" s="28">
        <v>10</v>
      </c>
      <c r="E7" s="25">
        <v>1</v>
      </c>
      <c r="F7" s="25">
        <v>2</v>
      </c>
      <c r="G7" s="25">
        <v>1</v>
      </c>
      <c r="H7" s="26">
        <f>IF(COUNTA(E7:G7)=0,"",AVERAGE(E7:G7))</f>
        <v>1.3333333333333333</v>
      </c>
      <c r="I7" s="72">
        <f>IFERROR(ROUND(Tabel16[[#This Row],[Gem. score]]/5,2),0)</f>
        <v>0.47</v>
      </c>
      <c r="J7" s="27"/>
      <c r="K7" s="138" t="str">
        <f>IF(D7="A-aluminium","Hergebruik",IF(D7="C-aluminium","Recycling",IF(H7&gt;=4,"Hergebruik","Recycling")))</f>
        <v>Recycling</v>
      </c>
      <c r="L7" s="93" t="str">
        <f>IF(I7&gt;=75%,"Hoogwaardig","Laagwaardig")</f>
        <v>Laagwaardig</v>
      </c>
      <c r="M7" s="97">
        <v>800</v>
      </c>
      <c r="N7" s="29">
        <v>30</v>
      </c>
      <c r="O7" s="29">
        <v>90</v>
      </c>
      <c r="P7" s="22">
        <v>1</v>
      </c>
      <c r="Q7" s="13">
        <v>20</v>
      </c>
      <c r="R7" s="65">
        <f>Tabel13[[#This Row],[Volume (m2)]]*Tabel13[[#This Row],[CO2-nieuw (kg)]]+Tabel13[[#This Row],[Volume (m2)]]*Tabel13[[#This Row],[Transport-impact ]]*Tabel13[[#This Row],[Transport afstand (km)]]</f>
        <v>8200</v>
      </c>
      <c r="S7" s="65">
        <f>Tabel13[[#This Row],[Volume (m2)]]*Tabel13[[#This Row],[CO2-Hergebruik (kg)]]+Tabel13[[#This Row],[Volume (m2)]]*Tabel13[[#This Row],[Transport afstand (km)]]*Tabel13[[#This Row],[Transport-impact ]]</f>
        <v>500</v>
      </c>
      <c r="T7" s="65">
        <f>Tabel13[[#This Row],[Volume (m2)]]*Tabel13[[#This Row],[CO2- recycle (kg)]]+Tabel13[[#This Row],[Volume (m2)]]*Tabel13[[#This Row],[Transport afstand (km)]]*Tabel13[[#This Row],[Transport-impact ]]</f>
        <v>1100</v>
      </c>
      <c r="U7" s="49">
        <f>IF(V7="hergebruik",R7-S7,IF(V7="recycling",T7-S7,""))</f>
        <v>7700</v>
      </c>
      <c r="V7" s="90" t="str">
        <f t="shared" si="1"/>
        <v>Hergebruik</v>
      </c>
      <c r="W7" s="84">
        <f>Tabel113[[#This Row],[Volume (m3)]]*Tabel113[[#This Row],[Geschatte recovery rate (%)]]</f>
        <v>4.6999999999999993</v>
      </c>
      <c r="X7" s="44">
        <f>IFERROR(VLOOKUP(#REF!,$A$18:$D$22,4,FALSE),0)</f>
        <v>0</v>
      </c>
      <c r="Y7" s="344">
        <f>Tabel13[[#This Row],[Verkoopprijs aan retailer per m³]]*Tabel13[[#This Row],[Verkoopbaar volume (m3)]]</f>
        <v>0</v>
      </c>
    </row>
    <row r="12" spans="1:26" hidden="1">
      <c r="A12" s="36"/>
      <c r="B12" s="36"/>
      <c r="C12" s="36"/>
      <c r="D12" s="36"/>
    </row>
    <row r="13" spans="1:26" hidden="1">
      <c r="A13" s="45"/>
      <c r="B13" s="45"/>
      <c r="C13" s="45"/>
      <c r="D13" s="45"/>
    </row>
    <row r="14" spans="1:26" hidden="1">
      <c r="A14" s="45"/>
      <c r="B14" s="45"/>
      <c r="C14" s="45"/>
      <c r="D14" s="45"/>
    </row>
    <row r="15" spans="1:26" hidden="1">
      <c r="A15" s="45"/>
      <c r="B15" s="45"/>
      <c r="C15" s="45"/>
      <c r="D15" s="45"/>
    </row>
    <row r="16" spans="1:26" hidden="1">
      <c r="A16" s="45"/>
      <c r="B16" s="45"/>
      <c r="C16" s="45"/>
      <c r="D16" s="45"/>
    </row>
    <row r="17" spans="26:26" s="193" customFormat="1">
      <c r="Z17" s="368"/>
    </row>
  </sheetData>
  <mergeCells count="4">
    <mergeCell ref="M1:V1"/>
    <mergeCell ref="W1:Y1"/>
    <mergeCell ref="A1:E1"/>
    <mergeCell ref="F1:L1"/>
  </mergeCells>
  <phoneticPr fontId="6" type="noConversion"/>
  <conditionalFormatting sqref="I3:I7">
    <cfRule type="colorScale" priority="250">
      <colorScale>
        <cfvo type="min"/>
        <cfvo type="percentile" val="50"/>
        <cfvo type="max"/>
        <color rgb="FFFEE2E2"/>
        <color rgb="FFFEF3C7"/>
        <color rgb="FFDCFCE7"/>
      </colorScale>
    </cfRule>
  </conditionalFormatting>
  <conditionalFormatting sqref="K3:K7">
    <cfRule type="colorScale" priority="1">
      <colorScale>
        <cfvo type="min"/>
        <cfvo type="percentile" val="50"/>
        <cfvo type="max"/>
        <color rgb="FFFEE2E2"/>
        <color rgb="FFFEF3C7"/>
        <color rgb="FFDCFCE7"/>
      </colorScale>
    </cfRule>
  </conditionalFormatting>
  <conditionalFormatting sqref="L3:L7">
    <cfRule type="colorScale" priority="3">
      <colorScale>
        <cfvo type="min"/>
        <cfvo type="percentile" val="50"/>
        <cfvo type="max"/>
        <color rgb="FFFEE2E2"/>
        <color rgb="FFFEF3C7"/>
        <color rgb="FFDCFCE7"/>
      </colorScale>
    </cfRule>
  </conditionalFormatting>
  <conditionalFormatting sqref="Q3:Q7">
    <cfRule type="colorScale" priority="258">
      <colorScale>
        <cfvo type="min"/>
        <cfvo type="percentile" val="50"/>
        <cfvo type="max"/>
        <color rgb="FFFEE2E2"/>
        <color rgb="FFFEF3C7"/>
        <color rgb="FFDCFCE7"/>
      </colorScale>
    </cfRule>
  </conditionalFormatting>
  <dataValidations count="2">
    <dataValidation type="list" sqref="E3:G7 N3:P7" xr:uid="{00000000-0002-0000-0300-000003000000}">
      <formula1>"1,2,3,4,5"</formula1>
    </dataValidation>
    <dataValidation type="list" sqref="C3:C7 J3:J7" xr:uid="{00000000-0002-0000-0300-000001000000}">
      <formula1>"Staal,Hout,Beton,Aluminium,Koper,Keramiek,Bitumen,Overig"</formula1>
    </dataValidation>
  </dataValidations>
  <pageMargins left="0.7" right="0.7" top="0.75" bottom="0.75" header="0.3" footer="0.3"/>
  <drawing r:id="rId1"/>
  <legacy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7FDE8-0BEC-4F47-A51E-495AAC4470B1}">
  <dimension ref="A1:K6"/>
  <sheetViews>
    <sheetView workbookViewId="0">
      <selection activeCell="C18" sqref="C18"/>
    </sheetView>
  </sheetViews>
  <sheetFormatPr defaultColWidth="0" defaultRowHeight="14.4" zeroHeight="1"/>
  <cols>
    <col min="1" max="1" width="30" style="46" customWidth="1"/>
    <col min="2" max="2" width="44.77734375" style="46" customWidth="1"/>
    <col min="3" max="3" width="47.109375" style="46" customWidth="1"/>
    <col min="4" max="4" width="57.109375" style="46" customWidth="1"/>
    <col min="5" max="5" width="4.109375" style="339" customWidth="1"/>
    <col min="6" max="6" width="26.109375" style="46" customWidth="1"/>
    <col min="7" max="7" width="40.44140625" style="46" customWidth="1"/>
    <col min="8" max="8" width="31.109375" style="46" customWidth="1"/>
    <col min="9" max="9" width="28.109375" style="46" customWidth="1"/>
    <col min="10" max="10" width="39.109375" style="46" customWidth="1"/>
    <col min="11" max="11" width="8.77734375" style="339" customWidth="1"/>
    <col min="12" max="16384" width="8.77734375" style="46" hidden="1"/>
  </cols>
  <sheetData>
    <row r="1" spans="1:10">
      <c r="A1" s="48" t="s">
        <v>2</v>
      </c>
      <c r="B1" s="48" t="s">
        <v>31</v>
      </c>
      <c r="C1" s="48" t="s">
        <v>110</v>
      </c>
      <c r="D1" s="48" t="s">
        <v>111</v>
      </c>
      <c r="F1" s="189" t="s">
        <v>2</v>
      </c>
      <c r="G1" s="189" t="s">
        <v>112</v>
      </c>
      <c r="H1" s="189" t="s">
        <v>113</v>
      </c>
      <c r="I1" s="189" t="s">
        <v>114</v>
      </c>
      <c r="J1" s="189" t="s">
        <v>115</v>
      </c>
    </row>
    <row r="2" spans="1:10" ht="43.2">
      <c r="A2" s="36" t="s">
        <v>319</v>
      </c>
      <c r="B2" s="45" t="s">
        <v>320</v>
      </c>
      <c r="C2" s="45" t="s">
        <v>321</v>
      </c>
      <c r="D2" s="45" t="s">
        <v>322</v>
      </c>
      <c r="F2" s="191" t="s">
        <v>315</v>
      </c>
      <c r="G2" s="82" t="s">
        <v>323</v>
      </c>
      <c r="H2" s="82" t="s">
        <v>324</v>
      </c>
      <c r="I2" s="82" t="s">
        <v>325</v>
      </c>
      <c r="J2" s="82" t="s">
        <v>326</v>
      </c>
    </row>
    <row r="3" spans="1:10" ht="43.2">
      <c r="A3" s="36" t="s">
        <v>327</v>
      </c>
      <c r="B3" s="45" t="s">
        <v>328</v>
      </c>
      <c r="C3" s="45" t="s">
        <v>329</v>
      </c>
      <c r="D3" s="45" t="s">
        <v>330</v>
      </c>
      <c r="F3" s="191" t="s">
        <v>316</v>
      </c>
      <c r="G3" s="82" t="s">
        <v>331</v>
      </c>
      <c r="H3" s="82" t="s">
        <v>332</v>
      </c>
      <c r="I3" s="82" t="s">
        <v>333</v>
      </c>
      <c r="J3" s="82" t="s">
        <v>334</v>
      </c>
    </row>
    <row r="4" spans="1:10" ht="57.6">
      <c r="A4" s="36" t="s">
        <v>335</v>
      </c>
      <c r="B4" s="45" t="s">
        <v>336</v>
      </c>
      <c r="C4" s="45" t="s">
        <v>337</v>
      </c>
      <c r="D4" s="45" t="s">
        <v>338</v>
      </c>
      <c r="F4" s="191" t="s">
        <v>317</v>
      </c>
      <c r="G4" s="82" t="s">
        <v>339</v>
      </c>
      <c r="H4" s="82" t="s">
        <v>340</v>
      </c>
      <c r="I4" s="82" t="s">
        <v>341</v>
      </c>
      <c r="J4" s="82" t="s">
        <v>342</v>
      </c>
    </row>
    <row r="5" spans="1:10" ht="43.2">
      <c r="A5" s="36" t="s">
        <v>343</v>
      </c>
      <c r="B5" s="45" t="s">
        <v>344</v>
      </c>
      <c r="C5" s="45" t="s">
        <v>345</v>
      </c>
      <c r="D5" s="45" t="s">
        <v>346</v>
      </c>
      <c r="F5" s="191" t="s">
        <v>318</v>
      </c>
      <c r="G5" s="82" t="s">
        <v>347</v>
      </c>
      <c r="H5" s="82" t="s">
        <v>348</v>
      </c>
      <c r="I5" s="82" t="s">
        <v>349</v>
      </c>
      <c r="J5" s="82" t="s">
        <v>350</v>
      </c>
    </row>
    <row r="6" spans="1:10" s="339" customFormat="1"/>
  </sheetData>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4C71-DAEC-4683-87C1-A207232D8661}">
  <dimension ref="A1"/>
  <sheetViews>
    <sheetView workbookViewId="0"/>
  </sheetViews>
  <sheetFormatPr defaultColWidth="8.77734375" defaultRowHeight="14.4"/>
  <sheetData>
    <row r="1" spans="1:1">
      <c r="A1" t="s">
        <v>351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6FAF-3E01-174B-88D4-44BBCA4EE2FC}">
  <dimension ref="A1:AE6"/>
  <sheetViews>
    <sheetView zoomScale="71" workbookViewId="0">
      <selection activeCell="K5" sqref="K5"/>
    </sheetView>
  </sheetViews>
  <sheetFormatPr defaultColWidth="0" defaultRowHeight="14.4" zeroHeight="1"/>
  <cols>
    <col min="1" max="1" width="10.77734375" style="82" customWidth="1"/>
    <col min="2" max="2" width="13.77734375" style="82" customWidth="1"/>
    <col min="3" max="3" width="21.109375" style="82" customWidth="1"/>
    <col min="4" max="4" width="25" style="82" customWidth="1"/>
    <col min="5" max="5" width="5.88671875" style="331" customWidth="1"/>
    <col min="6" max="6" width="18.44140625" style="82" customWidth="1"/>
    <col min="7" max="7" width="19.109375" style="82" customWidth="1"/>
    <col min="8" max="8" width="20.77734375" style="82" customWidth="1"/>
    <col min="9" max="9" width="15.109375" style="82" customWidth="1"/>
    <col min="10" max="10" width="4.77734375" style="331" customWidth="1"/>
    <col min="11" max="12" width="14.77734375" style="82" customWidth="1"/>
    <col min="13" max="13" width="14.109375" style="82" customWidth="1"/>
    <col min="14" max="14" width="20" style="82" customWidth="1"/>
    <col min="15" max="15" width="4.21875" style="331" customWidth="1"/>
    <col min="16" max="16" width="17.109375" style="82" customWidth="1"/>
    <col min="17" max="17" width="27.77734375" style="82" customWidth="1"/>
    <col min="18" max="18" width="18.44140625" style="82" customWidth="1"/>
    <col min="19" max="20" width="19.109375" style="82" customWidth="1"/>
    <col min="21" max="21" width="9.33203125" style="331" customWidth="1"/>
    <col min="22" max="22" width="18.77734375" style="82" customWidth="1"/>
    <col min="23" max="23" width="13.109375" style="82" customWidth="1"/>
    <col min="24" max="24" width="17.109375" style="82" customWidth="1"/>
    <col min="25" max="25" width="19.109375" style="82" customWidth="1"/>
    <col min="26" max="26" width="5.44140625" style="331" customWidth="1"/>
    <col min="27" max="27" width="13.77734375" style="82" customWidth="1"/>
    <col min="28" max="28" width="16.44140625" style="82" customWidth="1"/>
    <col min="29" max="29" width="17.77734375" style="82" customWidth="1"/>
    <col min="30" max="30" width="18.77734375" style="82" customWidth="1"/>
    <col min="31" max="31" width="10.77734375" style="331" customWidth="1"/>
    <col min="32" max="16384" width="10.77734375" style="82" hidden="1"/>
  </cols>
  <sheetData>
    <row r="1" spans="1:30" ht="28.8">
      <c r="A1" s="78" t="s">
        <v>2</v>
      </c>
      <c r="B1" s="78" t="s">
        <v>31</v>
      </c>
      <c r="C1" s="78" t="s">
        <v>110</v>
      </c>
      <c r="D1" s="78" t="s">
        <v>111</v>
      </c>
      <c r="E1" s="372"/>
      <c r="F1" s="79" t="s">
        <v>2</v>
      </c>
      <c r="G1" s="80" t="s">
        <v>31</v>
      </c>
      <c r="H1" s="80" t="s">
        <v>110</v>
      </c>
      <c r="I1" s="81" t="s">
        <v>111</v>
      </c>
      <c r="J1" s="373"/>
      <c r="K1" s="78" t="s">
        <v>2</v>
      </c>
      <c r="L1" s="78" t="s">
        <v>31</v>
      </c>
      <c r="M1" s="78" t="s">
        <v>110</v>
      </c>
      <c r="N1" s="78" t="s">
        <v>111</v>
      </c>
      <c r="O1" s="373"/>
      <c r="P1" s="78" t="s">
        <v>2</v>
      </c>
      <c r="Q1" s="78" t="s">
        <v>31</v>
      </c>
      <c r="R1" s="78" t="s">
        <v>110</v>
      </c>
      <c r="S1" s="78" t="s">
        <v>352</v>
      </c>
      <c r="T1" s="78" t="s">
        <v>111</v>
      </c>
      <c r="U1" s="373"/>
      <c r="V1" s="78" t="s">
        <v>2</v>
      </c>
      <c r="W1" s="78" t="s">
        <v>31</v>
      </c>
      <c r="X1" s="78" t="s">
        <v>110</v>
      </c>
      <c r="Y1" s="78" t="s">
        <v>111</v>
      </c>
      <c r="AA1" s="78" t="s">
        <v>2</v>
      </c>
      <c r="AB1" s="78" t="s">
        <v>31</v>
      </c>
      <c r="AC1" s="78" t="s">
        <v>110</v>
      </c>
      <c r="AD1" s="78" t="s">
        <v>111</v>
      </c>
    </row>
    <row r="2" spans="1:30" ht="100.8">
      <c r="A2" s="38" t="s">
        <v>107</v>
      </c>
      <c r="B2" s="38" t="s">
        <v>116</v>
      </c>
      <c r="C2" s="38" t="s">
        <v>117</v>
      </c>
      <c r="D2" s="38" t="s">
        <v>118</v>
      </c>
      <c r="E2" s="373"/>
      <c r="F2" s="74" t="s">
        <v>151</v>
      </c>
      <c r="G2" s="63" t="s">
        <v>162</v>
      </c>
      <c r="H2" s="63" t="s">
        <v>163</v>
      </c>
      <c r="I2" s="75" t="s">
        <v>164</v>
      </c>
      <c r="J2" s="373"/>
      <c r="K2" s="67" t="s">
        <v>192</v>
      </c>
      <c r="L2" s="67" t="s">
        <v>206</v>
      </c>
      <c r="M2" s="67" t="s">
        <v>207</v>
      </c>
      <c r="N2" s="67" t="s">
        <v>208</v>
      </c>
      <c r="O2" s="374"/>
      <c r="P2" s="38" t="s">
        <v>250</v>
      </c>
      <c r="Q2" s="38" t="s">
        <v>353</v>
      </c>
      <c r="R2" s="38" t="s">
        <v>354</v>
      </c>
      <c r="S2" s="38" t="s">
        <v>237</v>
      </c>
      <c r="T2" s="38" t="s">
        <v>355</v>
      </c>
      <c r="U2" s="374"/>
      <c r="V2" s="38" t="s">
        <v>281</v>
      </c>
      <c r="W2" s="38" t="s">
        <v>288</v>
      </c>
      <c r="X2" s="38" t="s">
        <v>289</v>
      </c>
      <c r="Y2" s="38" t="s">
        <v>290</v>
      </c>
      <c r="AA2" s="38" t="s">
        <v>319</v>
      </c>
      <c r="AB2" s="38" t="s">
        <v>320</v>
      </c>
      <c r="AC2" s="38" t="s">
        <v>321</v>
      </c>
      <c r="AD2" s="38" t="s">
        <v>322</v>
      </c>
    </row>
    <row r="3" spans="1:30" ht="100.8">
      <c r="A3" s="38" t="s">
        <v>108</v>
      </c>
      <c r="B3" s="38" t="s">
        <v>123</v>
      </c>
      <c r="C3" s="38" t="s">
        <v>124</v>
      </c>
      <c r="D3" s="38" t="s">
        <v>125</v>
      </c>
      <c r="E3" s="373"/>
      <c r="F3" s="76" t="s">
        <v>148</v>
      </c>
      <c r="G3" s="64" t="s">
        <v>169</v>
      </c>
      <c r="H3" s="64" t="s">
        <v>170</v>
      </c>
      <c r="I3" s="77" t="s">
        <v>171</v>
      </c>
      <c r="J3" s="373"/>
      <c r="K3" s="67" t="s">
        <v>195</v>
      </c>
      <c r="L3" s="67" t="s">
        <v>213</v>
      </c>
      <c r="M3" s="67" t="s">
        <v>214</v>
      </c>
      <c r="N3" s="67" t="s">
        <v>215</v>
      </c>
      <c r="O3" s="374"/>
      <c r="P3" s="38" t="s">
        <v>239</v>
      </c>
      <c r="Q3" s="38" t="s">
        <v>356</v>
      </c>
      <c r="R3" s="38" t="s">
        <v>357</v>
      </c>
      <c r="S3" s="38"/>
      <c r="T3" s="38" t="s">
        <v>358</v>
      </c>
      <c r="U3" s="374"/>
      <c r="V3" s="38" t="s">
        <v>283</v>
      </c>
      <c r="W3" s="38" t="s">
        <v>295</v>
      </c>
      <c r="X3" s="38" t="s">
        <v>170</v>
      </c>
      <c r="Y3" s="38" t="s">
        <v>296</v>
      </c>
      <c r="AA3" s="38" t="s">
        <v>327</v>
      </c>
      <c r="AB3" s="38" t="s">
        <v>328</v>
      </c>
      <c r="AC3" s="38" t="s">
        <v>329</v>
      </c>
      <c r="AD3" s="38" t="s">
        <v>330</v>
      </c>
    </row>
    <row r="4" spans="1:30" ht="115.2">
      <c r="A4" s="38" t="s">
        <v>109</v>
      </c>
      <c r="B4" s="38" t="s">
        <v>130</v>
      </c>
      <c r="C4" s="38" t="s">
        <v>131</v>
      </c>
      <c r="D4" s="38" t="s">
        <v>132</v>
      </c>
      <c r="E4" s="373"/>
      <c r="F4" s="74" t="s">
        <v>159</v>
      </c>
      <c r="G4" s="63" t="s">
        <v>176</v>
      </c>
      <c r="H4" s="63" t="s">
        <v>177</v>
      </c>
      <c r="I4" s="75" t="s">
        <v>178</v>
      </c>
      <c r="J4" s="373"/>
      <c r="K4" s="67" t="s">
        <v>198</v>
      </c>
      <c r="L4" s="67" t="s">
        <v>220</v>
      </c>
      <c r="M4" s="67" t="s">
        <v>221</v>
      </c>
      <c r="N4" s="67" t="s">
        <v>222</v>
      </c>
      <c r="O4" s="374"/>
      <c r="P4" s="38" t="s">
        <v>359</v>
      </c>
      <c r="Q4" s="38" t="s">
        <v>360</v>
      </c>
      <c r="R4" s="38" t="s">
        <v>303</v>
      </c>
      <c r="S4" s="38"/>
      <c r="T4" s="38" t="s">
        <v>361</v>
      </c>
      <c r="U4" s="374"/>
      <c r="V4" s="38" t="s">
        <v>301</v>
      </c>
      <c r="W4" s="38" t="s">
        <v>302</v>
      </c>
      <c r="X4" s="38" t="s">
        <v>303</v>
      </c>
      <c r="Y4" s="38" t="s">
        <v>304</v>
      </c>
      <c r="AA4" s="38" t="s">
        <v>335</v>
      </c>
      <c r="AB4" s="38" t="s">
        <v>336</v>
      </c>
      <c r="AC4" s="38" t="s">
        <v>337</v>
      </c>
      <c r="AD4" s="38" t="s">
        <v>338</v>
      </c>
    </row>
    <row r="5" spans="1:30" ht="158.4">
      <c r="A5" s="38" t="s">
        <v>103</v>
      </c>
      <c r="B5" s="38" t="s">
        <v>137</v>
      </c>
      <c r="C5" s="38" t="s">
        <v>138</v>
      </c>
      <c r="D5" s="38" t="s">
        <v>139</v>
      </c>
      <c r="E5" s="373"/>
      <c r="F5" s="76" t="s">
        <v>158</v>
      </c>
      <c r="G5" s="64" t="s">
        <v>183</v>
      </c>
      <c r="H5" s="64" t="s">
        <v>138</v>
      </c>
      <c r="I5" s="77" t="s">
        <v>184</v>
      </c>
      <c r="J5" s="373"/>
      <c r="K5" s="67" t="s">
        <v>201</v>
      </c>
      <c r="L5" s="67" t="s">
        <v>227</v>
      </c>
      <c r="M5" s="67" t="s">
        <v>228</v>
      </c>
      <c r="N5" s="67" t="s">
        <v>229</v>
      </c>
      <c r="O5" s="374"/>
      <c r="P5" s="38" t="s">
        <v>362</v>
      </c>
      <c r="Q5" s="38" t="s">
        <v>363</v>
      </c>
      <c r="R5" s="38" t="s">
        <v>364</v>
      </c>
      <c r="S5" s="38"/>
      <c r="T5" s="38" t="s">
        <v>365</v>
      </c>
      <c r="U5" s="374"/>
      <c r="V5" s="38" t="s">
        <v>308</v>
      </c>
      <c r="W5" s="38" t="s">
        <v>309</v>
      </c>
      <c r="X5" s="38" t="s">
        <v>310</v>
      </c>
      <c r="Y5" s="38" t="s">
        <v>311</v>
      </c>
      <c r="AA5" s="38" t="s">
        <v>343</v>
      </c>
      <c r="AB5" s="38" t="s">
        <v>344</v>
      </c>
      <c r="AC5" s="38" t="s">
        <v>345</v>
      </c>
      <c r="AD5" s="38" t="s">
        <v>346</v>
      </c>
    </row>
    <row r="6" spans="1:30" s="331" customFormat="1">
      <c r="F6" s="369"/>
      <c r="G6" s="370"/>
      <c r="H6" s="370"/>
      <c r="I6" s="371"/>
    </row>
  </sheetData>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AF8156F872E14996455F80D0DEA00E" ma:contentTypeVersion="15" ma:contentTypeDescription="Een nieuw document maken." ma:contentTypeScope="" ma:versionID="a7d1b571154696eb0247a11139eb2b1f">
  <xsd:schema xmlns:xsd="http://www.w3.org/2001/XMLSchema" xmlns:xs="http://www.w3.org/2001/XMLSchema" xmlns:p="http://schemas.microsoft.com/office/2006/metadata/properties" xmlns:ns3="453c103b-0414-43d8-9f9b-e6d9cd73a23b" xmlns:ns4="25718640-e0f9-44c5-bb86-8a4307147e13" targetNamespace="http://schemas.microsoft.com/office/2006/metadata/properties" ma:root="true" ma:fieldsID="13b50f34bcf47b3bbebbb8d1e9e352e9" ns3:_="" ns4:_="">
    <xsd:import namespace="453c103b-0414-43d8-9f9b-e6d9cd73a23b"/>
    <xsd:import namespace="25718640-e0f9-44c5-bb86-8a4307147e13"/>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DateTaken" minOccurs="0"/>
                <xsd:element ref="ns3:MediaServiceAutoTags" minOccurs="0"/>
                <xsd:element ref="ns3:MediaLengthInSeconds"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3c103b-0414-43d8-9f9b-e6d9cd73a2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718640-e0f9-44c5-bb86-8a4307147e13"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SharingHintHash" ma:index="12"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453c103b-0414-43d8-9f9b-e6d9cd73a23b" xsi:nil="true"/>
  </documentManagement>
</p:properties>
</file>

<file path=customXml/itemProps1.xml><?xml version="1.0" encoding="utf-8"?>
<ds:datastoreItem xmlns:ds="http://schemas.openxmlformats.org/officeDocument/2006/customXml" ds:itemID="{69FE55E6-FB27-436C-88E2-F9222E7866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3c103b-0414-43d8-9f9b-e6d9cd73a23b"/>
    <ds:schemaRef ds:uri="25718640-e0f9-44c5-bb86-8a4307147e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91944C-5D45-4E30-B44A-A356DB6B3E26}">
  <ds:schemaRefs>
    <ds:schemaRef ds:uri="http://schemas.microsoft.com/sharepoint/v3/contenttype/forms"/>
  </ds:schemaRefs>
</ds:datastoreItem>
</file>

<file path=customXml/itemProps3.xml><?xml version="1.0" encoding="utf-8"?>
<ds:datastoreItem xmlns:ds="http://schemas.openxmlformats.org/officeDocument/2006/customXml" ds:itemID="{6CBC3671-AD7B-4EAC-83C9-2190C16F7B3D}">
  <ds:schemaRefs>
    <ds:schemaRef ds:uri="http://schemas.microsoft.com/DataMashup"/>
  </ds:schemaRefs>
</ds:datastoreItem>
</file>

<file path=customXml/itemProps4.xml><?xml version="1.0" encoding="utf-8"?>
<ds:datastoreItem xmlns:ds="http://schemas.openxmlformats.org/officeDocument/2006/customXml" ds:itemID="{5BB59783-CDD7-487D-A4E5-5C82D98CE3E1}">
  <ds:schemaRefs>
    <ds:schemaRef ds:uri="http://schemas.microsoft.com/office/2006/documentManagement/types"/>
    <ds:schemaRef ds:uri="http://purl.org/dc/elements/1.1/"/>
    <ds:schemaRef ds:uri="http://purl.org/dc/dcmitype/"/>
    <ds:schemaRef ds:uri="http://www.w3.org/XML/1998/namespace"/>
    <ds:schemaRef ds:uri="25718640-e0f9-44c5-bb86-8a4307147e13"/>
    <ds:schemaRef ds:uri="http://purl.org/dc/terms/"/>
    <ds:schemaRef ds:uri="http://schemas.openxmlformats.org/package/2006/metadata/core-properties"/>
    <ds:schemaRef ds:uri="http://schemas.microsoft.com/office/infopath/2007/PartnerControls"/>
    <ds:schemaRef ds:uri="453c103b-0414-43d8-9f9b-e6d9cd73a23b"/>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21</vt:i4>
      </vt:variant>
      <vt:variant>
        <vt:lpstr>Benoemde bereiken</vt:lpstr>
      </vt:variant>
      <vt:variant>
        <vt:i4>1</vt:i4>
      </vt:variant>
    </vt:vector>
  </HeadingPairs>
  <TitlesOfParts>
    <vt:vector size="22" baseType="lpstr">
      <vt:lpstr>Methodiek</vt:lpstr>
      <vt:lpstr>Dashboard</vt:lpstr>
      <vt:lpstr>Hout</vt:lpstr>
      <vt:lpstr>Hout 2.0</vt:lpstr>
      <vt:lpstr>Hout-data</vt:lpstr>
      <vt:lpstr>Staal</vt:lpstr>
      <vt:lpstr>Staal 2.0</vt:lpstr>
      <vt:lpstr>Staal-data</vt:lpstr>
      <vt:lpstr>Beton</vt:lpstr>
      <vt:lpstr>Beton 2.0</vt:lpstr>
      <vt:lpstr>Beton-data</vt:lpstr>
      <vt:lpstr>Koper</vt:lpstr>
      <vt:lpstr>Koper 2.0</vt:lpstr>
      <vt:lpstr>Koper-data</vt:lpstr>
      <vt:lpstr>Aluminium</vt:lpstr>
      <vt:lpstr>Aluminium 2.0</vt:lpstr>
      <vt:lpstr>Aluminium-data</vt:lpstr>
      <vt:lpstr>Bitumen</vt:lpstr>
      <vt:lpstr>Bitumen 2.0</vt:lpstr>
      <vt:lpstr>Bitumen-data</vt:lpstr>
      <vt:lpstr>Categorie</vt:lpstr>
      <vt:lpstr>Klimaatimpact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Tijn Ebben</dc:creator>
  <cp:keywords/>
  <dc:description/>
  <cp:lastModifiedBy>Kamiel Kooijman</cp:lastModifiedBy>
  <cp:revision/>
  <cp:lastPrinted>2026-06-11T15:01:34Z</cp:lastPrinted>
  <dcterms:created xsi:type="dcterms:W3CDTF">2026-04-09T13:12:04Z</dcterms:created>
  <dcterms:modified xsi:type="dcterms:W3CDTF">2026-06-11T15:02:41Z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0x01010058AF8156F872E14996455F80D0DEA00E</vt:lpwstr>
  </property>
</Properties>
</file>