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5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tables/table15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worksheets/sheet8.xml" ContentType="application/vnd.openxmlformats-officedocument.spreadsheetml.worksheet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9.xml" ContentType="application/vnd.openxmlformats-officedocument.spreadsheetml.worksheet+xml"/>
  <Override PartName="/xl/tables/table21.xml" ContentType="application/vnd.openxmlformats-officedocument.spreadsheetml.table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11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12.xml" ContentType="application/vnd.openxmlformats-officedocument.spreadsheetml.worksheet+xml"/>
  <Override PartName="/xl/tables/table27.xml" ContentType="application/vnd.openxmlformats-officedocument.spreadsheetml.table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14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worksheets/sheet15.xml" ContentType="application/vnd.openxmlformats-officedocument.spreadsheetml.worksheet+xml"/>
  <Override PartName="/xl/tables/table3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worksheets/sheet17.xml" ContentType="application/vnd.openxmlformats-officedocument.spreadsheetml.worksheet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worksheets/sheet18.xml" ContentType="application/vnd.openxmlformats-officedocument.spreadsheetml.worksheet+xml"/>
  <Override PartName="/xl/tables/table39.xml" ContentType="application/vnd.openxmlformats-officedocument.spreadsheetml.table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tables/table40.xml" ContentType="application/vnd.openxmlformats-officedocument.spreadsheetml.table+xml"/>
  <Override PartName="/xl/worksheets/sheet20.xml" ContentType="application/vnd.openxmlformats-officedocument.spreadsheetml.worksheet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Methodiek" sheetId="1" state="visible" r:id="rId1"/>
    <sheet name="Dashboard" sheetId="2" state="visible" r:id="rId2"/>
    <sheet name="Samenvatting-data" sheetId="3" state="visible" r:id="rId3"/>
    <sheet name="Hout" sheetId="4" state="visible" r:id="rId4"/>
    <sheet name="Hout 2.0" sheetId="5" state="visible" r:id="rId5"/>
    <sheet name="Hout-data" sheetId="6" state="visible" r:id="rId6"/>
    <sheet name="Staal" sheetId="7" state="visible" r:id="rId7"/>
    <sheet name="Staal 2.0" sheetId="8" state="visible" r:id="rId8"/>
    <sheet name="Staal-data" sheetId="9" state="visible" r:id="rId9"/>
    <sheet name="Beton" sheetId="10" state="visible" r:id="rId10"/>
    <sheet name="Beton 2.0" sheetId="11" state="visible" r:id="rId11"/>
    <sheet name="Beton-data" sheetId="12" state="visible" r:id="rId12"/>
    <sheet name="Koper" sheetId="13" state="visible" r:id="rId13"/>
    <sheet name="Koper 2.0" sheetId="14" state="visible" r:id="rId14"/>
    <sheet name="Koper-data" sheetId="15" state="visible" r:id="rId15"/>
    <sheet name="Aluminium" sheetId="16" state="visible" r:id="rId16"/>
    <sheet name="Aluminium 2.0" sheetId="17" state="visible" r:id="rId17"/>
    <sheet name="Aluminium-data" sheetId="18" state="visible" r:id="rId18"/>
    <sheet name="Bitumen" sheetId="19" state="visible" r:id="rId19"/>
    <sheet name="Bitumen 2.0" sheetId="20" state="visible" r:id="rId20"/>
    <sheet name="Bitumen-data" sheetId="21" state="visible" r:id="rId21"/>
    <sheet name="Categorie" sheetId="22" state="visible" r:id="rId22"/>
    <sheet name="Isolatie-data" sheetId="23" state="visible" r:id="rId23"/>
    <sheet name="Keramiek-data" sheetId="24" state="visible" r:id="rId24"/>
    <sheet name="Afwerking-data" sheetId="25" state="visible" r:id="rId25"/>
    <sheet name="Overig-data" sheetId="26" state="visible" r:id="rId26"/>
  </sheets>
  <definedNames>
    <definedName name="Klimaatimpact" comment="De klimaat impact van het betreffende materiaal wordt door middel van een score 1 tot en met 5 beroordeeld. Wanneer het een negatieve impact heeft op het klimaat (veel uitstoot bij nieuw produceren) wordt het beroordeeld met een 1. ">Tabel14[[#Headers],[CO2-nieuw (kg)]]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_ &quot;€&quot;\ * #,##0.00_ ;_ &quot;€&quot;\ * \-#,##0.00_ ;_ &quot;€&quot;\ * &quot;-&quot;??_ ;_ @_ "/>
    <numFmt numFmtId="165" formatCode="&quot;€&quot;\ #,##0;[Red]&quot;€&quot;\ \-#,##0"/>
    <numFmt numFmtId="166" formatCode="&quot;€&quot;\ #,##0.00;[Red]&quot;€&quot;\ \-#,##0.00"/>
    <numFmt numFmtId="167" formatCode="_ [$€-413]\ * #,##0.00_ ;_ [$€-413]\ * \-#,##0.00_ ;_ [$€-413]\ * &quot;-&quot;??_ ;_ @_ "/>
    <numFmt numFmtId="168" formatCode="0.0"/>
    <numFmt numFmtId="169" formatCode="&quot;€&quot;\ #,##0.00"/>
    <numFmt numFmtId="170" formatCode="\€\ #,##0.00;[Red]\-\€\ #,##0.00"/>
    <numFmt numFmtId="171" formatCode="_ * #,##0.00_ ;_ * \-#,##0.00_ ;_ * &quot;-&quot;??_ ;_ @_ "/>
  </numFmts>
  <fonts count="44">
    <font>
      <name val="Calibri"/>
      <family val="2"/>
      <color theme="1"/>
      <sz val="11"/>
      <scheme val="minor"/>
    </font>
    <font>
      <name val="Carlito"/>
      <b val="1"/>
      <color rgb="FFFFFFFF"/>
      <sz val="11"/>
    </font>
    <font>
      <name val="Carlito"/>
      <sz val="11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b val="1"/>
      <color rgb="FFFFFFFF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</font>
    <font>
      <name val="Times New Roman"/>
      <family val="1"/>
      <color theme="1"/>
      <sz val="12"/>
    </font>
    <font>
      <name val="Times New Roman"/>
      <family val="1"/>
      <i val="1"/>
      <color theme="1"/>
      <sz val="12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Arial Unicode MS"/>
      <family val="2"/>
      <color theme="1"/>
      <sz val="10"/>
    </font>
    <font>
      <name val="Calibri"/>
      <family val="2"/>
      <b val="1"/>
      <i val="1"/>
      <color theme="1"/>
      <sz val="11"/>
      <scheme val="minor"/>
    </font>
    <font>
      <name val="Calibri"/>
      <family val="2"/>
      <b val="1"/>
      <color theme="6"/>
      <sz val="11"/>
      <scheme val="minor"/>
    </font>
    <font>
      <name val="Calibri"/>
      <family val="2"/>
      <color rgb="FFFFFFFF"/>
      <sz val="11"/>
      <u val="single"/>
      <scheme val="minor"/>
    </font>
    <font>
      <name val="Calibri"/>
      <family val="2"/>
      <b val="1"/>
      <color rgb="FFFFFFFF"/>
      <sz val="11"/>
      <u val="single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color theme="1"/>
      <sz val="11"/>
    </font>
    <font>
      <name val="Calibri"/>
      <family val="2"/>
      <color theme="10"/>
      <sz val="11"/>
    </font>
    <font>
      <name val="Calibri"/>
      <family val="2"/>
      <b val="1"/>
      <color rgb="FFFFFFFF"/>
      <sz val="14"/>
    </font>
    <font>
      <name val="Calibri"/>
      <family val="2"/>
      <b val="1"/>
      <color theme="0"/>
      <sz val="16"/>
      <u val="single"/>
      <scheme val="minor"/>
    </font>
    <font>
      <name val="Aptos"/>
      <family val="2"/>
      <color theme="1"/>
      <sz val="10.5"/>
    </font>
    <font>
      <name val="Aptos"/>
      <family val="2"/>
      <b val="1"/>
      <color theme="1"/>
      <sz val="10.5"/>
    </font>
    <font>
      <name val="Calibri"/>
      <family val="2"/>
      <b val="1"/>
      <color theme="1"/>
      <sz val="13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FFFF"/>
      <sz val="11"/>
      <u val="single"/>
    </font>
    <font>
      <name val="Calibri"/>
      <family val="2"/>
      <b val="1"/>
      <color theme="1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b val="1"/>
      <color rgb="FFFFFFFF"/>
      <sz val="11"/>
    </font>
    <font>
      <name val="Calibri"/>
      <b val="1"/>
      <color theme="1"/>
      <sz val="11"/>
    </font>
    <font>
      <name val="Calibri"/>
      <color theme="1"/>
      <sz val="11"/>
    </font>
    <font>
      <b val="1"/>
      <color rgb="00FFFFFF"/>
    </font>
    <font>
      <b val="1"/>
    </font>
  </fonts>
  <fills count="21">
    <fill>
      <patternFill/>
    </fill>
    <fill>
      <patternFill patternType="gray125"/>
    </fill>
    <fill>
      <patternFill patternType="solid">
        <fgColor theme="6" tint="0.7999816888943144"/>
        <bgColor theme="6" tint="0.7999816888943144"/>
      </patternFill>
    </fill>
    <fill>
      <patternFill patternType="solid">
        <fgColor theme="6"/>
        <bgColor theme="6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theme="6" tint="0.7999816888943144"/>
      </patternFill>
    </fill>
    <fill>
      <patternFill patternType="solid">
        <fgColor rgb="FFF8FAFC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196B24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00196B24"/>
      </patternFill>
    </fill>
    <fill>
      <patternFill patternType="solid">
        <fgColor rgb="00C1F0C8"/>
      </patternFill>
    </fill>
  </fills>
  <borders count="52">
    <border>
      <left/>
      <right/>
      <top/>
      <bottom/>
      <diagonal/>
    </border>
    <border>
      <left/>
      <right/>
      <top style="thin">
        <color theme="6" tint="0.3999755851924192"/>
      </top>
      <bottom style="thin">
        <color theme="6" tint="0.399975585192419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6" tint="0.3999755851924192"/>
      </left>
      <right/>
      <top style="thin">
        <color theme="6" tint="0.3999755851924192"/>
      </top>
      <bottom style="thin">
        <color theme="6" tint="0.3999755851924192"/>
      </bottom>
      <diagonal/>
    </border>
    <border>
      <left/>
      <right style="thin">
        <color theme="6" tint="0.3999755851924192"/>
      </right>
      <top style="thin">
        <color theme="6" tint="0.3999755851924192"/>
      </top>
      <bottom style="thin">
        <color theme="6" tint="0.399975585192419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15" fillId="0" borderId="0"/>
    <xf numFmtId="0" fontId="2" fillId="0" borderId="0"/>
    <xf numFmtId="9" fontId="15" fillId="0" borderId="0"/>
    <xf numFmtId="0" fontId="38" fillId="0" borderId="0"/>
    <xf numFmtId="0" fontId="28" fillId="0" borderId="0"/>
    <xf numFmtId="44" fontId="15" fillId="0" borderId="0"/>
    <xf numFmtId="43" fontId="15" fillId="0" borderId="0"/>
  </cellStyleXfs>
  <cellXfs count="430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2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10" fillId="0" borderId="5" applyAlignment="1" pivotButton="0" quotePrefix="0" xfId="0">
      <alignment wrapText="1"/>
    </xf>
    <xf numFmtId="2" fontId="10" fillId="0" borderId="5" applyAlignment="1" pivotButton="0" quotePrefix="0" xfId="0">
      <alignment wrapText="1"/>
    </xf>
    <xf numFmtId="0" fontId="11" fillId="5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/>
    </xf>
    <xf numFmtId="4" fontId="10" fillId="0" borderId="5" applyAlignment="1" pivotButton="0" quotePrefix="0" xfId="0">
      <alignment horizontal="center" wrapText="1"/>
    </xf>
    <xf numFmtId="0" fontId="0" fillId="0" borderId="5" applyAlignment="1" pivotButton="0" quotePrefix="0" xfId="0">
      <alignment vertical="center" wrapText="1"/>
    </xf>
    <xf numFmtId="0" fontId="11" fillId="4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4" fontId="0" fillId="0" borderId="5" applyAlignment="1" pivotButton="0" quotePrefix="0" xfId="0">
      <alignment horizontal="center" wrapText="1"/>
    </xf>
    <xf numFmtId="9" fontId="0" fillId="0" borderId="5" pivotButton="0" quotePrefix="0" xfId="0"/>
    <xf numFmtId="4" fontId="10" fillId="0" borderId="5" applyAlignment="1" pivotButton="0" quotePrefix="0" xfId="0">
      <alignment horizontal="center" vertical="center" wrapText="1"/>
    </xf>
    <xf numFmtId="4" fontId="10" fillId="0" borderId="5" applyAlignment="1" pivotButton="0" quotePrefix="0" xfId="0">
      <alignment wrapText="1"/>
    </xf>
    <xf numFmtId="4" fontId="0" fillId="0" borderId="5" pivotButton="0" quotePrefix="0" xfId="0"/>
    <xf numFmtId="0" fontId="9" fillId="3" borderId="5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10" fillId="0" borderId="8" applyAlignment="1" pivotButton="0" quotePrefix="0" xfId="0">
      <alignment wrapText="1"/>
    </xf>
    <xf numFmtId="0" fontId="10" fillId="0" borderId="6" applyAlignment="1" pivotButton="0" quotePrefix="0" xfId="0">
      <alignment wrapText="1"/>
    </xf>
    <xf numFmtId="2" fontId="0" fillId="0" borderId="5" pivotButton="0" quotePrefix="0" xfId="0"/>
    <xf numFmtId="0" fontId="10" fillId="0" borderId="2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2" fontId="0" fillId="0" borderId="6" pivotButton="0" quotePrefix="0" xfId="0"/>
    <xf numFmtId="0" fontId="0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 vertical="center" wrapText="1"/>
    </xf>
    <xf numFmtId="0" fontId="10" fillId="0" borderId="7" applyAlignment="1" pivotButton="0" quotePrefix="0" xfId="0">
      <alignment wrapText="1"/>
    </xf>
    <xf numFmtId="2" fontId="10" fillId="0" borderId="7" applyAlignment="1" pivotButton="0" quotePrefix="0" xfId="0">
      <alignment wrapText="1"/>
    </xf>
    <xf numFmtId="0" fontId="11" fillId="5" borderId="7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8" pivotButton="0" quotePrefix="0" xfId="0"/>
    <xf numFmtId="0" fontId="14" fillId="0" borderId="0" applyAlignment="1" pivotButton="0" quotePrefix="0" xfId="0">
      <alignment wrapText="1"/>
    </xf>
    <xf numFmtId="0" fontId="14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right" vertical="center" wrapText="1"/>
    </xf>
    <xf numFmtId="164" fontId="10" fillId="0" borderId="5" applyAlignment="1" pivotButton="0" quotePrefix="0" xfId="5">
      <alignment horizontal="center" vertical="center" wrapText="1"/>
    </xf>
    <xf numFmtId="164" fontId="10" fillId="0" borderId="5" applyAlignment="1" pivotButton="0" quotePrefix="0" xfId="5">
      <alignment wrapText="1"/>
    </xf>
    <xf numFmtId="0" fontId="16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9" fontId="0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indent="4"/>
    </xf>
    <xf numFmtId="0" fontId="17" fillId="0" borderId="0" applyAlignment="1" pivotButton="0" quotePrefix="0" xfId="0">
      <alignment horizontal="left" vertical="center" indent="4"/>
    </xf>
    <xf numFmtId="0" fontId="19" fillId="0" borderId="0" applyAlignment="1" pivotButton="0" quotePrefix="0" xfId="0">
      <alignment wrapText="1"/>
    </xf>
    <xf numFmtId="0" fontId="5" fillId="0" borderId="5" pivotButton="0" quotePrefix="0" xfId="0"/>
    <xf numFmtId="4" fontId="5" fillId="0" borderId="5" applyAlignment="1" pivotButton="0" quotePrefix="0" xfId="0">
      <alignment horizontal="center" wrapText="1"/>
    </xf>
    <xf numFmtId="3" fontId="0" fillId="0" borderId="13" applyAlignment="1" pivotButton="0" quotePrefix="0" xfId="0">
      <alignment horizontal="right" vertical="center" wrapText="1"/>
    </xf>
    <xf numFmtId="9" fontId="0" fillId="0" borderId="13" applyAlignment="1" pivotButton="0" quotePrefix="0" xfId="0">
      <alignment horizontal="right" vertical="center" wrapText="1"/>
    </xf>
    <xf numFmtId="0" fontId="0" fillId="0" borderId="13" applyAlignment="1" pivotButton="0" quotePrefix="0" xfId="0">
      <alignment vertical="center" wrapText="1"/>
    </xf>
    <xf numFmtId="0" fontId="5" fillId="0" borderId="14" applyAlignment="1" pivotButton="0" quotePrefix="0" xfId="0">
      <alignment horizontal="center" vertical="center" wrapText="1"/>
    </xf>
    <xf numFmtId="0" fontId="0" fillId="0" borderId="15" applyAlignment="1" pivotButton="0" quotePrefix="0" xfId="0">
      <alignment vertical="center" wrapText="1"/>
    </xf>
    <xf numFmtId="3" fontId="0" fillId="0" borderId="15" applyAlignment="1" pivotButton="0" quotePrefix="0" xfId="0">
      <alignment horizontal="right" vertical="center" wrapText="1"/>
    </xf>
    <xf numFmtId="9" fontId="0" fillId="0" borderId="15" applyAlignment="1" pivotButton="0" quotePrefix="0" xfId="0">
      <alignment horizontal="right" vertical="center" wrapText="1"/>
    </xf>
    <xf numFmtId="4" fontId="5" fillId="0" borderId="5" applyAlignment="1" pivotButton="0" quotePrefix="0" xfId="0">
      <alignment horizontal="center" vertical="center" wrapText="1"/>
    </xf>
    <xf numFmtId="164" fontId="11" fillId="0" borderId="5" applyAlignment="1" pivotButton="0" quotePrefix="0" xfId="5">
      <alignment horizontal="center" vertical="center" wrapText="1"/>
    </xf>
    <xf numFmtId="0" fontId="5" fillId="0" borderId="8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right" vertical="center" wrapText="1"/>
    </xf>
    <xf numFmtId="166" fontId="0" fillId="0" borderId="0" applyAlignment="1" pivotButton="0" quotePrefix="0" xfId="0">
      <alignment horizontal="right" vertical="center" wrapText="1"/>
    </xf>
    <xf numFmtId="2" fontId="10" fillId="0" borderId="5" applyAlignment="1" pivotButton="0" quotePrefix="0" xfId="0">
      <alignment horizontal="center" vertical="center" wrapText="1"/>
    </xf>
    <xf numFmtId="0" fontId="13" fillId="2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1" fontId="5" fillId="0" borderId="5" applyAlignment="1" pivotButton="0" quotePrefix="0" xfId="0">
      <alignment horizontal="center" vertical="center"/>
    </xf>
    <xf numFmtId="1" fontId="0" fillId="0" borderId="5" pivotButton="0" quotePrefix="0" xfId="0"/>
    <xf numFmtId="0" fontId="20" fillId="0" borderId="0" pivotButton="0" quotePrefix="0" xfId="0"/>
    <xf numFmtId="0" fontId="13" fillId="0" borderId="0" applyAlignment="1" pivotButton="0" quotePrefix="0" xfId="0">
      <alignment horizontal="left" vertical="top" wrapText="1"/>
    </xf>
    <xf numFmtId="0" fontId="5" fillId="0" borderId="17" applyAlignment="1" pivotButton="0" quotePrefix="0" xfId="0">
      <alignment horizontal="center" vertical="center" wrapText="1"/>
    </xf>
    <xf numFmtId="0" fontId="5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center" vertical="center" wrapText="1"/>
    </xf>
    <xf numFmtId="0" fontId="5" fillId="0" borderId="21" pivotButton="0" quotePrefix="0" xfId="0"/>
    <xf numFmtId="0" fontId="5" fillId="0" borderId="22" pivotButton="0" quotePrefix="0" xfId="0"/>
    <xf numFmtId="0" fontId="5" fillId="0" borderId="16" applyAlignment="1" pivotButton="0" quotePrefix="0" xfId="0">
      <alignment horizontal="center" vertical="center"/>
    </xf>
    <xf numFmtId="0" fontId="5" fillId="0" borderId="24" applyAlignment="1" pivotButton="0" quotePrefix="0" xfId="0">
      <alignment horizontal="center" vertical="center" wrapText="1"/>
    </xf>
    <xf numFmtId="0" fontId="5" fillId="0" borderId="19" applyAlignment="1" pivotButton="0" quotePrefix="0" xfId="0">
      <alignment horizontal="center" vertical="center" wrapText="1"/>
    </xf>
    <xf numFmtId="9" fontId="5" fillId="0" borderId="21" applyAlignment="1" pivotButton="0" quotePrefix="0" xfId="2">
      <alignment horizontal="right" vertical="center" wrapText="1"/>
    </xf>
    <xf numFmtId="9" fontId="5" fillId="0" borderId="21" applyAlignment="1" pivotButton="0" quotePrefix="0" xfId="0">
      <alignment wrapText="1"/>
    </xf>
    <xf numFmtId="1" fontId="5" fillId="0" borderId="7" applyAlignment="1" pivotButton="0" quotePrefix="0" xfId="0">
      <alignment horizontal="center" vertical="center"/>
    </xf>
    <xf numFmtId="0" fontId="14" fillId="2" borderId="25" applyAlignment="1" pivotButton="0" quotePrefix="0" xfId="0">
      <alignment vertical="top" wrapText="1"/>
    </xf>
    <xf numFmtId="0" fontId="13" fillId="2" borderId="26" applyAlignment="1" pivotButton="0" quotePrefix="0" xfId="0">
      <alignment vertical="top" wrapText="1"/>
    </xf>
    <xf numFmtId="0" fontId="14" fillId="0" borderId="25" applyAlignment="1" pivotButton="0" quotePrefix="0" xfId="0">
      <alignment vertical="top" wrapText="1"/>
    </xf>
    <xf numFmtId="0" fontId="13" fillId="0" borderId="26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19" fillId="3" borderId="25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19" fillId="3" borderId="26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9" fillId="0" borderId="27" applyAlignment="1" pivotButton="0" quotePrefix="0" xfId="0">
      <alignment horizontal="center" vertical="center" wrapText="1"/>
    </xf>
    <xf numFmtId="4" fontId="10" fillId="0" borderId="8" applyAlignment="1" pivotButton="0" quotePrefix="0" xfId="0">
      <alignment wrapText="1"/>
    </xf>
    <xf numFmtId="0" fontId="9" fillId="0" borderId="17" applyAlignment="1" pivotButton="0" quotePrefix="0" xfId="0">
      <alignment horizontal="center" vertical="center" wrapText="1"/>
    </xf>
    <xf numFmtId="1" fontId="10" fillId="0" borderId="20" applyAlignment="1" pivotButton="0" quotePrefix="0" xfId="0">
      <alignment wrapText="1"/>
    </xf>
    <xf numFmtId="0" fontId="0" fillId="0" borderId="21" pivotButton="0" quotePrefix="0" xfId="0"/>
    <xf numFmtId="0" fontId="0" fillId="0" borderId="21" applyAlignment="1" pivotButton="0" quotePrefix="0" xfId="0">
      <alignment horizontal="left" vertical="center"/>
    </xf>
    <xf numFmtId="0" fontId="10" fillId="0" borderId="20" applyAlignment="1" pivotButton="0" quotePrefix="0" xfId="0">
      <alignment wrapText="1"/>
    </xf>
    <xf numFmtId="0" fontId="0" fillId="0" borderId="28" pivotButton="0" quotePrefix="0" xfId="0"/>
    <xf numFmtId="0" fontId="10" fillId="0" borderId="22" applyAlignment="1" pivotButton="0" quotePrefix="0" xfId="0">
      <alignment wrapText="1"/>
    </xf>
    <xf numFmtId="0" fontId="10" fillId="0" borderId="16" applyAlignment="1" pivotButton="0" quotePrefix="0" xfId="0">
      <alignment wrapText="1"/>
    </xf>
    <xf numFmtId="0" fontId="11" fillId="4" borderId="16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0" borderId="9" applyAlignment="1" pivotButton="0" quotePrefix="0" xfId="2">
      <alignment horizontal="center" vertical="center" wrapText="1"/>
    </xf>
    <xf numFmtId="0" fontId="9" fillId="0" borderId="32" applyAlignment="1" pivotButton="0" quotePrefix="0" xfId="0">
      <alignment horizontal="center" vertical="center" wrapText="1"/>
    </xf>
    <xf numFmtId="0" fontId="9" fillId="0" borderId="33" applyAlignment="1" pivotButton="0" quotePrefix="0" xfId="0">
      <alignment horizontal="center" vertical="center" wrapText="1"/>
    </xf>
    <xf numFmtId="0" fontId="9" fillId="0" borderId="34" applyAlignment="1" pivotButton="0" quotePrefix="0" xfId="0">
      <alignment horizontal="center" vertical="center" wrapText="1"/>
    </xf>
    <xf numFmtId="0" fontId="10" fillId="0" borderId="35" applyAlignment="1" pivotButton="0" quotePrefix="0" xfId="0">
      <alignment wrapText="1"/>
    </xf>
    <xf numFmtId="0" fontId="0" fillId="0" borderId="36" pivotButton="0" quotePrefix="0" xfId="0"/>
    <xf numFmtId="4" fontId="5" fillId="0" borderId="16" applyAlignment="1" pivotButton="0" quotePrefix="0" xfId="0">
      <alignment horizontal="center" vertical="center"/>
    </xf>
    <xf numFmtId="0" fontId="0" fillId="0" borderId="16" pivotButton="0" quotePrefix="0" xfId="0"/>
    <xf numFmtId="2" fontId="11" fillId="0" borderId="7" applyAlignment="1" pivotButton="0" quotePrefix="0" xfId="0">
      <alignment horizontal="center" vertical="center" wrapText="1"/>
    </xf>
    <xf numFmtId="0" fontId="21" fillId="0" borderId="5" applyAlignment="1" pivotButton="0" quotePrefix="0" xfId="0">
      <alignment vertical="center"/>
    </xf>
    <xf numFmtId="9" fontId="11" fillId="0" borderId="5" applyAlignment="1" pivotButton="0" quotePrefix="0" xfId="0">
      <alignment wrapText="1"/>
    </xf>
    <xf numFmtId="0" fontId="12" fillId="0" borderId="0" applyAlignment="1" pivotButton="0" quotePrefix="0" xfId="0">
      <alignment horizontal="center" vertical="center" wrapText="1"/>
    </xf>
    <xf numFmtId="0" fontId="12" fillId="0" borderId="29" applyAlignment="1" pivotButton="0" quotePrefix="0" xfId="0">
      <alignment horizontal="center" vertical="center" wrapText="1"/>
    </xf>
    <xf numFmtId="0" fontId="12" fillId="0" borderId="30" applyAlignment="1" pivotButton="0" quotePrefix="0" xfId="0">
      <alignment horizontal="center" vertical="center" wrapText="1"/>
    </xf>
    <xf numFmtId="0" fontId="12" fillId="0" borderId="3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applyAlignment="1" pivotButton="0" quotePrefix="0" xfId="0">
      <alignment horizontal="center" vertical="center" wrapText="1"/>
    </xf>
    <xf numFmtId="9" fontId="11" fillId="0" borderId="5" applyAlignment="1" pivotButton="0" quotePrefix="0" xfId="0">
      <alignment horizontal="right" wrapText="1"/>
    </xf>
    <xf numFmtId="9" fontId="5" fillId="0" borderId="5" applyAlignment="1" pivotButton="0" quotePrefix="0" xfId="0">
      <alignment horizontal="right"/>
    </xf>
    <xf numFmtId="4" fontId="0" fillId="0" borderId="5" applyAlignment="1" pivotButton="0" quotePrefix="0" xfId="0">
      <alignment horizontal="center" vertical="center" wrapText="1"/>
    </xf>
    <xf numFmtId="9" fontId="11" fillId="0" borderId="5" applyAlignment="1" pivotButton="0" quotePrefix="0" xfId="0">
      <alignment horizontal="center" wrapText="1"/>
    </xf>
    <xf numFmtId="0" fontId="22" fillId="0" borderId="21" pivotButton="0" quotePrefix="0" xfId="0"/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right" vertical="top" wrapText="1"/>
    </xf>
    <xf numFmtId="0" fontId="0" fillId="0" borderId="0" applyAlignment="1" pivotButton="0" quotePrefix="0" xfId="0">
      <alignment horizontal="right" vertical="top" wrapText="1"/>
    </xf>
    <xf numFmtId="9" fontId="0" fillId="0" borderId="0" applyAlignment="1" pivotButton="0" quotePrefix="0" xfId="0">
      <alignment horizontal="right" vertical="top" wrapText="1"/>
    </xf>
    <xf numFmtId="0" fontId="12" fillId="0" borderId="7" applyAlignment="1" pivotButton="0" quotePrefix="0" xfId="0">
      <alignment horizontal="center" vertical="center" wrapText="1"/>
    </xf>
    <xf numFmtId="0" fontId="12" fillId="0" borderId="27" applyAlignment="1" pivotButton="0" quotePrefix="0" xfId="0">
      <alignment horizontal="center" vertical="center" wrapText="1"/>
    </xf>
    <xf numFmtId="0" fontId="0" fillId="0" borderId="20" applyAlignment="1" pivotButton="0" quotePrefix="0" xfId="0">
      <alignment wrapText="1"/>
    </xf>
    <xf numFmtId="0" fontId="0" fillId="0" borderId="5" applyAlignment="1" pivotButton="0" quotePrefix="0" xfId="0">
      <alignment horizontal="center" vertical="center"/>
    </xf>
    <xf numFmtId="4" fontId="0" fillId="0" borderId="5" applyAlignment="1" pivotButton="0" quotePrefix="0" xfId="0">
      <alignment wrapText="1"/>
    </xf>
    <xf numFmtId="164" fontId="0" fillId="0" borderId="5" applyAlignment="1" pivotButton="0" quotePrefix="0" xfId="5">
      <alignment horizontal="center" vertical="center" wrapText="1"/>
    </xf>
    <xf numFmtId="2" fontId="0" fillId="0" borderId="5" applyAlignment="1" pivotButton="0" quotePrefix="0" xfId="0">
      <alignment horizontal="right" wrapText="1"/>
    </xf>
    <xf numFmtId="2" fontId="0" fillId="0" borderId="5" applyAlignment="1" pivotButton="0" quotePrefix="0" xfId="0">
      <alignment horizontal="right" vertical="center" wrapText="1"/>
    </xf>
    <xf numFmtId="9" fontId="0" fillId="0" borderId="5" applyAlignment="1" pivotButton="0" quotePrefix="0" xfId="0">
      <alignment wrapText="1"/>
    </xf>
    <xf numFmtId="164" fontId="0" fillId="0" borderId="5" applyAlignment="1" pivotButton="0" quotePrefix="0" xfId="5">
      <alignment wrapText="1"/>
    </xf>
    <xf numFmtId="0" fontId="0" fillId="0" borderId="5" applyAlignment="1" pivotButton="0" quotePrefix="0" xfId="0">
      <alignment horizontal="center" wrapText="1"/>
    </xf>
    <xf numFmtId="0" fontId="0" fillId="0" borderId="5" applyAlignment="1" pivotButton="0" quotePrefix="0" xfId="0">
      <alignment horizontal="right" wrapText="1"/>
    </xf>
    <xf numFmtId="0" fontId="0" fillId="0" borderId="9" applyAlignment="1" pivotButton="0" quotePrefix="0" xfId="0">
      <alignment horizontal="center" wrapText="1"/>
    </xf>
    <xf numFmtId="0" fontId="0" fillId="0" borderId="22" applyAlignment="1" pivotButton="0" quotePrefix="0" xfId="0">
      <alignment horizontal="center" wrapText="1"/>
    </xf>
    <xf numFmtId="0" fontId="0" fillId="0" borderId="16" applyAlignment="1" pivotButton="0" quotePrefix="0" xfId="0">
      <alignment horizontal="center" wrapText="1"/>
    </xf>
    <xf numFmtId="0" fontId="0" fillId="0" borderId="1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/>
    </xf>
    <xf numFmtId="4" fontId="0" fillId="0" borderId="8" applyAlignment="1" pivotButton="0" quotePrefix="0" xfId="0">
      <alignment wrapText="1"/>
    </xf>
    <xf numFmtId="0" fontId="12" fillId="0" borderId="38" applyAlignment="1" pivotButton="0" quotePrefix="0" xfId="0">
      <alignment horizontal="center" vertical="center" wrapText="1"/>
    </xf>
    <xf numFmtId="0" fontId="12" fillId="0" borderId="39" applyAlignment="1" pivotButton="0" quotePrefix="0" xfId="0">
      <alignment horizontal="center" vertical="center" wrapText="1"/>
    </xf>
    <xf numFmtId="0" fontId="12" fillId="0" borderId="37" applyAlignment="1" pivotButton="0" quotePrefix="0" xfId="0">
      <alignment horizontal="center" vertical="center" wrapText="1"/>
    </xf>
    <xf numFmtId="2" fontId="0" fillId="0" borderId="18" applyAlignment="1" pivotButton="0" quotePrefix="0" xfId="0">
      <alignment wrapText="1"/>
    </xf>
    <xf numFmtId="0" fontId="22" fillId="8" borderId="5" applyAlignment="1" pivotButton="0" quotePrefix="0" xfId="0">
      <alignment horizontal="center"/>
    </xf>
    <xf numFmtId="0" fontId="23" fillId="8" borderId="5" applyAlignment="1" pivotButton="0" quotePrefix="0" xfId="0">
      <alignment horizontal="right"/>
    </xf>
    <xf numFmtId="0" fontId="23" fillId="8" borderId="5" applyAlignment="1" pivotButton="0" quotePrefix="0" xfId="0">
      <alignment horizontal="center"/>
    </xf>
    <xf numFmtId="0" fontId="9" fillId="0" borderId="40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center" vertical="center" wrapText="1"/>
    </xf>
    <xf numFmtId="0" fontId="9" fillId="0" borderId="41" applyAlignment="1" pivotButton="0" quotePrefix="0" xfId="0">
      <alignment horizontal="center" vertical="center" wrapText="1"/>
    </xf>
    <xf numFmtId="0" fontId="0" fillId="7" borderId="5" applyAlignment="1" pivotButton="0" quotePrefix="0" xfId="0">
      <alignment vertical="top" wrapText="1"/>
    </xf>
    <xf numFmtId="0" fontId="0" fillId="8" borderId="5" applyAlignment="1" pivotButton="0" quotePrefix="0" xfId="0">
      <alignment vertical="top" wrapText="1"/>
    </xf>
    <xf numFmtId="167" fontId="0" fillId="0" borderId="0" applyAlignment="1" pivotButton="0" quotePrefix="0" xfId="0">
      <alignment horizontal="right" vertical="center" wrapText="1"/>
    </xf>
    <xf numFmtId="167" fontId="0" fillId="0" borderId="0" applyAlignment="1" pivotButton="0" quotePrefix="0" xfId="0">
      <alignment horizontal="right" vertical="top" wrapText="1"/>
    </xf>
    <xf numFmtId="0" fontId="0" fillId="0" borderId="5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right" vertical="center"/>
    </xf>
    <xf numFmtId="1" fontId="0" fillId="0" borderId="16" applyAlignment="1" pivotButton="0" quotePrefix="0" xfId="0">
      <alignment horizontal="right" vertical="center"/>
    </xf>
    <xf numFmtId="0" fontId="22" fillId="8" borderId="5" applyAlignment="1" pivotButton="0" quotePrefix="0" xfId="0">
      <alignment horizontal="left"/>
    </xf>
    <xf numFmtId="0" fontId="25" fillId="0" borderId="7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/>
    </xf>
    <xf numFmtId="0" fontId="22" fillId="0" borderId="19" pivotButton="0" quotePrefix="0" xfId="0"/>
    <xf numFmtId="0" fontId="22" fillId="0" borderId="23" applyAlignment="1" pivotButton="0" quotePrefix="0" xfId="0">
      <alignment horizontal="center" wrapText="1"/>
    </xf>
    <xf numFmtId="0" fontId="5" fillId="5" borderId="18" applyAlignment="1" pivotButton="0" quotePrefix="0" xfId="0">
      <alignment horizontal="center" vertical="center" wrapText="1"/>
    </xf>
    <xf numFmtId="0" fontId="24" fillId="0" borderId="38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 wrapText="1"/>
    </xf>
    <xf numFmtId="0" fontId="12" fillId="2" borderId="5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 wrapText="1"/>
    </xf>
    <xf numFmtId="9" fontId="0" fillId="0" borderId="21" applyAlignment="1" pivotButton="0" quotePrefix="0" xfId="0">
      <alignment horizontal="center" vertical="center" wrapText="1"/>
    </xf>
    <xf numFmtId="0" fontId="10" fillId="6" borderId="5" applyAlignment="1" pivotButton="0" quotePrefix="0" xfId="0">
      <alignment wrapText="1"/>
    </xf>
    <xf numFmtId="9" fontId="0" fillId="0" borderId="21" applyAlignment="1" pivotButton="0" quotePrefix="0" xfId="0">
      <alignment wrapText="1"/>
    </xf>
    <xf numFmtId="0" fontId="10" fillId="2" borderId="5" applyAlignment="1" pivotButton="0" quotePrefix="0" xfId="0">
      <alignment wrapText="1"/>
    </xf>
    <xf numFmtId="4" fontId="10" fillId="2" borderId="5" applyAlignment="1" pivotButton="0" quotePrefix="0" xfId="0">
      <alignment horizontal="center" wrapText="1"/>
    </xf>
    <xf numFmtId="4" fontId="0" fillId="2" borderId="5" applyAlignment="1" pivotButton="0" quotePrefix="0" xfId="0">
      <alignment horizontal="center" wrapText="1"/>
    </xf>
    <xf numFmtId="0" fontId="0" fillId="0" borderId="16" applyAlignment="1" pivotButton="0" quotePrefix="0" xfId="0">
      <alignment wrapText="1"/>
    </xf>
    <xf numFmtId="0" fontId="10" fillId="0" borderId="5" applyAlignment="1" pivotButton="0" quotePrefix="0" xfId="0">
      <alignment horizontal="right" wrapText="1"/>
    </xf>
    <xf numFmtId="0" fontId="25" fillId="3" borderId="5" applyAlignment="1" pivotButton="0" quotePrefix="0" xfId="0">
      <alignment horizontal="center" vertical="center" wrapText="1"/>
    </xf>
    <xf numFmtId="0" fontId="25" fillId="0" borderId="18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right" vertical="center" wrapText="1"/>
    </xf>
    <xf numFmtId="0" fontId="10" fillId="0" borderId="9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/>
    </xf>
    <xf numFmtId="0" fontId="22" fillId="0" borderId="21" applyAlignment="1" pivotButton="0" quotePrefix="0" xfId="0">
      <alignment horizontal="left"/>
    </xf>
    <xf numFmtId="0" fontId="15" fillId="0" borderId="9" applyAlignment="1" pivotButton="0" quotePrefix="0" xfId="2">
      <alignment horizontal="left" vertical="center" wrapText="1"/>
    </xf>
    <xf numFmtId="4" fontId="0" fillId="2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left"/>
    </xf>
    <xf numFmtId="9" fontId="11" fillId="0" borderId="5" applyAlignment="1" pivotButton="0" quotePrefix="0" xfId="0">
      <alignment horizontal="right" vertical="center" wrapText="1"/>
    </xf>
    <xf numFmtId="2" fontId="10" fillId="0" borderId="5" applyAlignment="1" pivotButton="0" quotePrefix="0" xfId="0">
      <alignment horizontal="right" wrapText="1"/>
    </xf>
    <xf numFmtId="0" fontId="0" fillId="0" borderId="0" applyAlignment="1" pivotButton="0" quotePrefix="0" xfId="0">
      <alignment horizontal="left" vertical="center"/>
    </xf>
    <xf numFmtId="1" fontId="0" fillId="0" borderId="5" applyAlignment="1" pivotButton="0" quotePrefix="0" xfId="0">
      <alignment horizontal="right"/>
    </xf>
    <xf numFmtId="2" fontId="0" fillId="0" borderId="5" applyAlignment="1" pivotButton="0" quotePrefix="0" xfId="0">
      <alignment wrapText="1"/>
    </xf>
    <xf numFmtId="1" fontId="0" fillId="0" borderId="5" applyAlignment="1" pivotButton="0" quotePrefix="0" xfId="0">
      <alignment horizontal="center" vertical="center"/>
    </xf>
    <xf numFmtId="168" fontId="0" fillId="0" borderId="5" applyAlignment="1" pivotButton="0" quotePrefix="0" xfId="0">
      <alignment horizontal="center" vertical="center"/>
    </xf>
    <xf numFmtId="164" fontId="15" fillId="0" borderId="5" applyAlignment="1" pivotButton="0" quotePrefix="0" xfId="5">
      <alignment horizontal="center" vertical="center" wrapText="1"/>
    </xf>
    <xf numFmtId="0" fontId="0" fillId="4" borderId="5" applyAlignment="1" pivotButton="0" quotePrefix="0" xfId="0">
      <alignment horizontal="center" vertical="center" wrapText="1"/>
    </xf>
    <xf numFmtId="1" fontId="0" fillId="0" borderId="6" applyAlignment="1" pivotButton="0" quotePrefix="0" xfId="0">
      <alignment horizontal="center" vertical="center"/>
    </xf>
    <xf numFmtId="0" fontId="0" fillId="4" borderId="16" applyAlignment="1" pivotButton="0" quotePrefix="0" xfId="0">
      <alignment horizontal="center" vertical="center" wrapText="1"/>
    </xf>
    <xf numFmtId="1" fontId="0" fillId="0" borderId="16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26" fillId="0" borderId="18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right"/>
    </xf>
    <xf numFmtId="0" fontId="0" fillId="0" borderId="6" applyAlignment="1" pivotButton="0" quotePrefix="0" xfId="0">
      <alignment horizontal="right" wrapText="1"/>
    </xf>
    <xf numFmtId="2" fontId="0" fillId="0" borderId="6" applyAlignment="1" pivotButton="0" quotePrefix="0" xfId="0">
      <alignment horizontal="right"/>
    </xf>
    <xf numFmtId="0" fontId="0" fillId="0" borderId="16" applyAlignment="1" pivotButton="0" quotePrefix="0" xfId="0">
      <alignment horizontal="right"/>
    </xf>
    <xf numFmtId="9" fontId="5" fillId="0" borderId="21" applyAlignment="1" pivotButton="0" quotePrefix="0" xfId="0">
      <alignment horizontal="right" wrapText="1"/>
    </xf>
    <xf numFmtId="0" fontId="5" fillId="0" borderId="23" applyAlignment="1" pivotButton="0" quotePrefix="0" xfId="0">
      <alignment horizontal="right"/>
    </xf>
    <xf numFmtId="0" fontId="23" fillId="8" borderId="5" applyAlignment="1" pivotButton="0" quotePrefix="0" xfId="0">
      <alignment horizontal="left"/>
    </xf>
    <xf numFmtId="4" fontId="0" fillId="0" borderId="8" applyAlignment="1" pivotButton="0" quotePrefix="0" xfId="0">
      <alignment horizontal="right" wrapText="1"/>
    </xf>
    <xf numFmtId="0" fontId="15" fillId="0" borderId="5" applyAlignment="1" pivotButton="0" quotePrefix="0" xfId="5">
      <alignment horizontal="right" vertical="center" wrapText="1"/>
    </xf>
    <xf numFmtId="164" fontId="15" fillId="0" borderId="5" applyAlignment="1" pivotButton="0" quotePrefix="0" xfId="5">
      <alignment horizontal="right" vertical="center" wrapText="1"/>
    </xf>
    <xf numFmtId="164" fontId="0" fillId="0" borderId="0" applyAlignment="1" pivotButton="0" quotePrefix="0" xfId="5">
      <alignment horizontal="right"/>
    </xf>
    <xf numFmtId="164" fontId="15" fillId="0" borderId="5" applyAlignment="1" pivotButton="0" quotePrefix="0" xfId="5">
      <alignment horizontal="right" wrapText="1"/>
    </xf>
    <xf numFmtId="164" fontId="15" fillId="0" borderId="5" applyAlignment="1" pivotButton="0" quotePrefix="0" xfId="5">
      <alignment wrapText="1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left" vertical="top" wrapText="1"/>
    </xf>
    <xf numFmtId="0" fontId="0" fillId="10" borderId="0" pivotButton="0" quotePrefix="0" xfId="0"/>
    <xf numFmtId="0" fontId="0" fillId="2" borderId="8" applyAlignment="1" pivotButton="0" quotePrefix="0" xfId="0">
      <alignment horizontal="center" vertical="center" wrapText="1"/>
    </xf>
    <xf numFmtId="0" fontId="10" fillId="6" borderId="8" pivotButton="0" quotePrefix="0" xfId="0"/>
    <xf numFmtId="0" fontId="10" fillId="0" borderId="8" pivotButton="0" quotePrefix="0" xfId="0"/>
    <xf numFmtId="0" fontId="10" fillId="2" borderId="8" pivotButton="0" quotePrefix="0" xfId="0"/>
    <xf numFmtId="0" fontId="32" fillId="0" borderId="0" applyAlignment="1" pivotButton="0" quotePrefix="0" xfId="0">
      <alignment vertical="center" wrapText="1"/>
    </xf>
    <xf numFmtId="0" fontId="31" fillId="0" borderId="0" applyAlignment="1" pivotButton="0" quotePrefix="0" xfId="0">
      <alignment vertical="center" wrapText="1"/>
    </xf>
    <xf numFmtId="1" fontId="10" fillId="0" borderId="5" applyAlignment="1" pivotButton="0" quotePrefix="0" xfId="0">
      <alignment wrapText="1"/>
    </xf>
    <xf numFmtId="0" fontId="25" fillId="0" borderId="33" applyAlignment="1" pivotButton="0" quotePrefix="0" xfId="0">
      <alignment horizontal="center" vertical="center" wrapText="1"/>
    </xf>
    <xf numFmtId="0" fontId="9" fillId="13" borderId="0" applyAlignment="1" pivotButton="0" quotePrefix="0" xfId="0">
      <alignment horizontal="center"/>
    </xf>
    <xf numFmtId="0" fontId="11" fillId="14" borderId="0" pivotButton="0" quotePrefix="0" xfId="0"/>
    <xf numFmtId="0" fontId="13" fillId="0" borderId="0" pivotButton="0" quotePrefix="0" xfId="0"/>
    <xf numFmtId="0" fontId="25" fillId="0" borderId="5" applyAlignment="1" pivotButton="0" quotePrefix="0" xfId="0">
      <alignment horizontal="center" vertical="center" wrapText="1"/>
    </xf>
    <xf numFmtId="0" fontId="25" fillId="0" borderId="11" applyAlignment="1" pivotButton="0" quotePrefix="0" xfId="0">
      <alignment horizontal="center" vertical="center" wrapText="1"/>
    </xf>
    <xf numFmtId="0" fontId="34" fillId="0" borderId="0" pivotButton="0" quotePrefix="0" xfId="0"/>
    <xf numFmtId="0" fontId="10" fillId="0" borderId="5" applyAlignment="1" pivotButton="0" quotePrefix="0" xfId="0">
      <alignment horizontal="left" wrapText="1"/>
    </xf>
    <xf numFmtId="0" fontId="22" fillId="0" borderId="5" pivotButton="0" quotePrefix="0" xfId="0"/>
    <xf numFmtId="0" fontId="5" fillId="0" borderId="0" applyAlignment="1" pivotButton="0" quotePrefix="0" xfId="0">
      <alignment vertical="center" wrapText="1"/>
    </xf>
    <xf numFmtId="0" fontId="33" fillId="11" borderId="4" pivotButton="0" quotePrefix="0" xfId="0"/>
    <xf numFmtId="0" fontId="33" fillId="0" borderId="45" pivotButton="0" quotePrefix="0" xfId="0"/>
    <xf numFmtId="0" fontId="33" fillId="0" borderId="0" pivotButton="0" quotePrefix="0" xfId="0"/>
    <xf numFmtId="0" fontId="0" fillId="0" borderId="6" applyAlignment="1" pivotButton="0" quotePrefix="0" xfId="0">
      <alignment horizontal="left" wrapText="1"/>
    </xf>
    <xf numFmtId="0" fontId="5" fillId="0" borderId="5" applyAlignment="1" pivotButton="0" quotePrefix="0" xfId="0">
      <alignment horizontal="right" vertical="center" wrapText="1"/>
    </xf>
    <xf numFmtId="2" fontId="5" fillId="0" borderId="5" applyAlignment="1" pivotButton="0" quotePrefix="0" xfId="0">
      <alignment horizontal="right" vertical="center" wrapText="1"/>
    </xf>
    <xf numFmtId="9" fontId="5" fillId="0" borderId="5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left"/>
    </xf>
    <xf numFmtId="0" fontId="5" fillId="0" borderId="17" applyAlignment="1" pivotButton="0" quotePrefix="0" xfId="0">
      <alignment wrapText="1"/>
    </xf>
    <xf numFmtId="0" fontId="5" fillId="0" borderId="18" applyAlignment="1" pivotButton="0" quotePrefix="0" xfId="0">
      <alignment wrapText="1"/>
    </xf>
    <xf numFmtId="2" fontId="5" fillId="0" borderId="18" applyAlignment="1" pivotButton="0" quotePrefix="0" xfId="0">
      <alignment wrapText="1"/>
    </xf>
    <xf numFmtId="0" fontId="5" fillId="0" borderId="18" applyAlignment="1" pivotButton="0" quotePrefix="0" xfId="0">
      <alignment horizontal="center" vertical="center"/>
    </xf>
    <xf numFmtId="4" fontId="5" fillId="0" borderId="8" applyAlignment="1" pivotButton="0" quotePrefix="0" xfId="0">
      <alignment wrapText="1"/>
    </xf>
    <xf numFmtId="164" fontId="5" fillId="0" borderId="5" applyAlignment="1" pivotButton="0" quotePrefix="0" xfId="5">
      <alignment horizontal="center" vertical="center" wrapText="1"/>
    </xf>
    <xf numFmtId="0" fontId="0" fillId="0" borderId="5" applyAlignment="1" pivotButton="0" quotePrefix="0" xfId="0">
      <alignment horizontal="left" wrapText="1"/>
    </xf>
    <xf numFmtId="0" fontId="5" fillId="0" borderId="14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right"/>
    </xf>
    <xf numFmtId="0" fontId="0" fillId="0" borderId="9" applyAlignment="1" pivotButton="0" quotePrefix="0" xfId="0">
      <alignment horizontal="right"/>
    </xf>
    <xf numFmtId="0" fontId="5" fillId="0" borderId="9" applyAlignment="1" pivotButton="0" quotePrefix="0" xfId="0">
      <alignment horizontal="right"/>
    </xf>
    <xf numFmtId="0" fontId="5" fillId="0" borderId="8" pivotButton="0" quotePrefix="0" xfId="0"/>
    <xf numFmtId="0" fontId="0" fillId="0" borderId="21" applyAlignment="1" pivotButton="0" quotePrefix="0" xfId="0">
      <alignment wrapText="1"/>
    </xf>
    <xf numFmtId="9" fontId="5" fillId="0" borderId="5" applyAlignment="1" pivotButton="0" quotePrefix="0" xfId="0">
      <alignment vertical="center" wrapText="1"/>
    </xf>
    <xf numFmtId="9" fontId="5" fillId="0" borderId="7" applyAlignment="1" pivotButton="0" quotePrefix="0" xfId="0">
      <alignment vertical="center" wrapText="1"/>
    </xf>
    <xf numFmtId="169" fontId="10" fillId="0" borderId="5" applyAlignment="1" pivotButton="0" quotePrefix="0" xfId="5">
      <alignment wrapText="1"/>
    </xf>
    <xf numFmtId="0" fontId="10" fillId="0" borderId="5" applyProtection="1" pivotButton="0" quotePrefix="0" xfId="0">
      <protection locked="0" hidden="0"/>
    </xf>
    <xf numFmtId="4" fontId="27" fillId="0" borderId="5" applyProtection="1" pivotButton="0" quotePrefix="0" xfId="0">
      <protection locked="0" hidden="0"/>
    </xf>
    <xf numFmtId="0" fontId="13" fillId="0" borderId="5" applyProtection="1" pivotButton="0" quotePrefix="0" xfId="0">
      <protection locked="0" hidden="0"/>
    </xf>
    <xf numFmtId="3" fontId="27" fillId="0" borderId="5" applyProtection="1" pivotButton="0" quotePrefix="0" xfId="0">
      <protection locked="0" hidden="0"/>
    </xf>
    <xf numFmtId="0" fontId="0" fillId="0" borderId="5" applyAlignment="1" applyProtection="1" pivotButton="0" quotePrefix="0" xfId="0">
      <alignment wrapText="1"/>
      <protection locked="0" hidden="0"/>
    </xf>
    <xf numFmtId="0" fontId="13" fillId="0" borderId="6" applyProtection="1" pivotButton="0" quotePrefix="0" xfId="0">
      <protection locked="0" hidden="0"/>
    </xf>
    <xf numFmtId="0" fontId="0" fillId="0" borderId="6" applyAlignment="1" applyProtection="1" pivotButton="0" quotePrefix="0" xfId="0">
      <alignment wrapText="1"/>
      <protection locked="0" hidden="0"/>
    </xf>
    <xf numFmtId="164" fontId="10" fillId="0" borderId="5" applyAlignment="1" pivotButton="0" quotePrefix="0" xfId="5">
      <alignment wrapText="1"/>
    </xf>
    <xf numFmtId="0" fontId="27" fillId="0" borderId="5" applyProtection="1" pivotButton="0" quotePrefix="0" xfId="0">
      <protection locked="0" hidden="0"/>
    </xf>
    <xf numFmtId="0" fontId="27" fillId="15" borderId="5" pivotButton="0" quotePrefix="0" xfId="0"/>
    <xf numFmtId="0" fontId="13" fillId="0" borderId="5" pivotButton="0" quotePrefix="0" xfId="0"/>
    <xf numFmtId="4" fontId="27" fillId="0" borderId="5" pivotButton="0" quotePrefix="0" xfId="0"/>
    <xf numFmtId="0" fontId="27" fillId="0" borderId="5" pivotButton="0" quotePrefix="0" xfId="0"/>
    <xf numFmtId="9" fontId="27" fillId="0" borderId="5" pivotButton="0" quotePrefix="0" xfId="0"/>
    <xf numFmtId="1" fontId="27" fillId="0" borderId="5" applyAlignment="1" pivotButton="0" quotePrefix="0" xfId="0">
      <alignment vertical="center"/>
    </xf>
    <xf numFmtId="1" fontId="27" fillId="0" borderId="5" pivotButton="0" quotePrefix="0" xfId="0"/>
    <xf numFmtId="4" fontId="27" fillId="0" borderId="5" applyAlignment="1" pivotButton="0" quotePrefix="0" xfId="0">
      <alignment vertical="center"/>
    </xf>
    <xf numFmtId="4" fontId="27" fillId="0" borderId="5" applyAlignment="1" pivotButton="0" quotePrefix="0" xfId="0">
      <alignment horizontal="right"/>
    </xf>
    <xf numFmtId="4" fontId="27" fillId="0" borderId="9" applyAlignment="1" pivotButton="0" quotePrefix="0" xfId="0">
      <alignment horizontal="right"/>
    </xf>
    <xf numFmtId="4" fontId="27" fillId="0" borderId="9" applyAlignment="1" pivotButton="0" quotePrefix="0" xfId="0">
      <alignment vertical="center"/>
    </xf>
    <xf numFmtId="169" fontId="27" fillId="0" borderId="5" pivotButton="0" quotePrefix="0" xfId="0"/>
    <xf numFmtId="170" fontId="36" fillId="0" borderId="5" pivotButton="0" quotePrefix="0" xfId="0"/>
    <xf numFmtId="169" fontId="0" fillId="0" borderId="5" applyAlignment="1" pivotButton="0" quotePrefix="0" xfId="5">
      <alignment wrapText="1"/>
    </xf>
    <xf numFmtId="169" fontId="0" fillId="0" borderId="8" applyAlignment="1" pivotButton="0" quotePrefix="0" xfId="5">
      <alignment wrapText="1"/>
    </xf>
    <xf numFmtId="2" fontId="27" fillId="0" borderId="5" pivotButton="0" quotePrefix="0" xfId="6"/>
    <xf numFmtId="169" fontId="36" fillId="0" borderId="5" pivotButton="0" quotePrefix="0" xfId="0"/>
    <xf numFmtId="0" fontId="0" fillId="9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 vertical="center" wrapText="1"/>
      <protection locked="0" hidden="0"/>
    </xf>
    <xf numFmtId="0" fontId="4" fillId="0" borderId="7" applyAlignment="1" applyProtection="1" pivotButton="0" quotePrefix="0" xfId="0">
      <alignment horizontal="center" vertical="center" wrapText="1"/>
      <protection locked="0" hidden="0"/>
    </xf>
    <xf numFmtId="0" fontId="12" fillId="0" borderId="7" applyAlignment="1" applyProtection="1" pivotButton="0" quotePrefix="0" xfId="0">
      <alignment horizontal="center" vertical="center" wrapText="1"/>
      <protection locked="0" hidden="0"/>
    </xf>
    <xf numFmtId="0" fontId="4" fillId="0" borderId="27" applyAlignment="1" applyProtection="1" pivotButton="0" quotePrefix="0" xfId="0">
      <alignment horizontal="center" vertical="center" wrapText="1"/>
      <protection locked="0" hidden="0"/>
    </xf>
    <xf numFmtId="0" fontId="27" fillId="9" borderId="0" applyProtection="1" pivotButton="0" quotePrefix="0" xfId="3">
      <protection locked="0" hidden="0"/>
    </xf>
    <xf numFmtId="0" fontId="27" fillId="9" borderId="0" applyProtection="1" pivotButton="0" quotePrefix="0" xfId="0">
      <protection locked="0" hidden="0"/>
    </xf>
    <xf numFmtId="4" fontId="27" fillId="9" borderId="0" applyProtection="1" pivotButton="0" quotePrefix="0" xfId="0">
      <protection locked="0" hidden="0"/>
    </xf>
    <xf numFmtId="170" fontId="27" fillId="9" borderId="0" applyProtection="1" pivotButton="0" quotePrefix="0" xfId="0">
      <protection locked="0" hidden="0"/>
    </xf>
    <xf numFmtId="0" fontId="0" fillId="9" borderId="0" applyAlignment="1" applyProtection="1" pivotButton="0" quotePrefix="0" xfId="0">
      <alignment vertical="center"/>
      <protection locked="0" hidden="0"/>
    </xf>
    <xf numFmtId="0" fontId="4" fillId="9" borderId="3" applyAlignment="1" applyProtection="1" pivotButton="0" quotePrefix="0" xfId="0">
      <alignment horizontal="center" vertical="center" wrapText="1"/>
      <protection locked="0" hidden="0"/>
    </xf>
    <xf numFmtId="0" fontId="4" fillId="9" borderId="7" applyAlignment="1" applyProtection="1" pivotButton="0" quotePrefix="0" xfId="0">
      <alignment horizontal="center" vertical="center" wrapText="1"/>
      <protection locked="0" hidden="0"/>
    </xf>
    <xf numFmtId="0" fontId="12" fillId="9" borderId="7" applyAlignment="1" applyProtection="1" pivotButton="0" quotePrefix="0" xfId="0">
      <alignment horizontal="center" vertical="center" wrapText="1"/>
      <protection locked="0" hidden="0"/>
    </xf>
    <xf numFmtId="0" fontId="4" fillId="9" borderId="7" applyAlignment="1" applyProtection="1" pivotButton="0" quotePrefix="0" xfId="0">
      <alignment vertical="center" wrapText="1"/>
      <protection locked="0" hidden="0"/>
    </xf>
    <xf numFmtId="0" fontId="4" fillId="9" borderId="27" applyAlignment="1" applyProtection="1" pivotButton="0" quotePrefix="0" xfId="0">
      <alignment horizontal="center" vertical="center" wrapText="1"/>
      <protection locked="0" hidden="0"/>
    </xf>
    <xf numFmtId="0" fontId="27" fillId="9" borderId="3" applyProtection="1" pivotButton="0" quotePrefix="0" xfId="3">
      <protection locked="0" hidden="0"/>
    </xf>
    <xf numFmtId="0" fontId="0" fillId="9" borderId="41" applyAlignment="1" applyProtection="1" pivotButton="0" quotePrefix="0" xfId="0">
      <alignment vertical="center" wrapText="1"/>
      <protection locked="0" hidden="0"/>
    </xf>
    <xf numFmtId="0" fontId="13" fillId="9" borderId="41" applyProtection="1" pivotButton="0" quotePrefix="0" xfId="0">
      <protection locked="0" hidden="0"/>
    </xf>
    <xf numFmtId="4" fontId="27" fillId="9" borderId="41" applyProtection="1" pivotButton="0" quotePrefix="0" xfId="0">
      <protection locked="0" hidden="0"/>
    </xf>
    <xf numFmtId="0" fontId="0" fillId="9" borderId="41" applyAlignment="1" applyProtection="1" pivotButton="0" quotePrefix="0" xfId="0">
      <alignment wrapText="1"/>
      <protection locked="0" hidden="0"/>
    </xf>
    <xf numFmtId="9" fontId="27" fillId="9" borderId="41" applyProtection="1" pivotButton="0" quotePrefix="0" xfId="0">
      <protection locked="0" hidden="0"/>
    </xf>
    <xf numFmtId="0" fontId="27" fillId="9" borderId="7" applyProtection="1" pivotButton="0" quotePrefix="0" xfId="0">
      <protection locked="0" hidden="0"/>
    </xf>
    <xf numFmtId="170" fontId="27" fillId="9" borderId="41" applyProtection="1" pivotButton="0" quotePrefix="0" xfId="0">
      <protection locked="0" hidden="0"/>
    </xf>
    <xf numFmtId="0" fontId="27" fillId="9" borderId="41" applyAlignment="1" applyProtection="1" pivotButton="0" quotePrefix="0" xfId="0">
      <alignment vertical="center"/>
      <protection locked="0" hidden="0"/>
    </xf>
    <xf numFmtId="0" fontId="27" fillId="9" borderId="41" applyProtection="1" pivotButton="0" quotePrefix="0" xfId="0">
      <protection locked="0" hidden="0"/>
    </xf>
    <xf numFmtId="0" fontId="27" fillId="9" borderId="46" applyProtection="1" pivotButton="0" quotePrefix="0" xfId="0">
      <protection locked="0" hidden="0"/>
    </xf>
    <xf numFmtId="3" fontId="0" fillId="0" borderId="5" applyAlignment="1" applyProtection="1" pivotButton="0" quotePrefix="0" xfId="0">
      <alignment wrapText="1"/>
      <protection locked="0" hidden="0"/>
    </xf>
    <xf numFmtId="3" fontId="0" fillId="0" borderId="6" applyAlignment="1" applyProtection="1" pivotButton="0" quotePrefix="0" xfId="0">
      <alignment wrapText="1"/>
      <protection locked="0" hidden="0"/>
    </xf>
    <xf numFmtId="1" fontId="0" fillId="0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27" fillId="0" borderId="7" pivotButton="0" quotePrefix="0" xfId="0"/>
    <xf numFmtId="0" fontId="27" fillId="0" borderId="9" pivotButton="0" quotePrefix="0" xfId="0"/>
    <xf numFmtId="4" fontId="27" fillId="0" borderId="6" pivotButton="0" quotePrefix="0" xfId="0"/>
    <xf numFmtId="1" fontId="27" fillId="0" borderId="6" applyAlignment="1" pivotButton="0" quotePrefix="0" xfId="0">
      <alignment vertical="center"/>
    </xf>
    <xf numFmtId="169" fontId="27" fillId="0" borderId="6" pivotButton="0" quotePrefix="0" xfId="0"/>
    <xf numFmtId="0" fontId="27" fillId="0" borderId="8" pivotButton="0" quotePrefix="0" xfId="3"/>
    <xf numFmtId="0" fontId="11" fillId="0" borderId="5" pivotButton="0" quotePrefix="0" xfId="0"/>
    <xf numFmtId="0" fontId="27" fillId="0" borderId="2" pivotButton="0" quotePrefix="0" xfId="3"/>
    <xf numFmtId="0" fontId="13" fillId="0" borderId="6" pivotButton="0" quotePrefix="0" xfId="0"/>
    <xf numFmtId="9" fontId="27" fillId="0" borderId="6" pivotButton="0" quotePrefix="0" xfId="0"/>
    <xf numFmtId="4" fontId="27" fillId="0" borderId="6" applyAlignment="1" pivotButton="0" quotePrefix="0" xfId="0">
      <alignment vertical="center"/>
    </xf>
    <xf numFmtId="0" fontId="0" fillId="0" borderId="5" applyAlignment="1" pivotButton="0" quotePrefix="0" xfId="0">
      <alignment horizontal="right" vertical="center"/>
    </xf>
    <xf numFmtId="4" fontId="27" fillId="0" borderId="7" pivotButton="0" quotePrefix="0" xfId="0"/>
    <xf numFmtId="4" fontId="27" fillId="0" borderId="6" applyAlignment="1" pivotButton="0" quotePrefix="0" xfId="0">
      <alignment horizontal="right"/>
    </xf>
    <xf numFmtId="0" fontId="27" fillId="0" borderId="6" pivotButton="0" quotePrefix="0" xfId="0"/>
    <xf numFmtId="1" fontId="27" fillId="0" borderId="7" pivotButton="0" quotePrefix="0" xfId="0"/>
    <xf numFmtId="1" fontId="27" fillId="0" borderId="6" pivotButton="0" quotePrefix="0" xfId="0"/>
    <xf numFmtId="0" fontId="0" fillId="0" borderId="0" applyAlignment="1" pivotButton="0" quotePrefix="0" xfId="0">
      <alignment horizontal="center" vertical="center"/>
    </xf>
    <xf numFmtId="9" fontId="0" fillId="0" borderId="5" applyAlignment="1" pivotButton="0" quotePrefix="0" xfId="0">
      <alignment vertical="center" wrapText="1"/>
    </xf>
    <xf numFmtId="2" fontId="5" fillId="0" borderId="5" applyAlignment="1" pivotButton="0" quotePrefix="0" xfId="0">
      <alignment horizontal="right" wrapText="1"/>
    </xf>
    <xf numFmtId="0" fontId="5" fillId="0" borderId="5" applyAlignment="1" pivotButton="0" quotePrefix="0" xfId="0">
      <alignment wrapText="1"/>
    </xf>
    <xf numFmtId="2" fontId="5" fillId="0" borderId="5" applyAlignment="1" pivotButton="0" quotePrefix="0" xfId="0">
      <alignment wrapText="1"/>
    </xf>
    <xf numFmtId="0" fontId="5" fillId="5" borderId="5" applyAlignment="1" pivotButton="0" quotePrefix="0" xfId="0">
      <alignment horizontal="center" vertical="center" wrapText="1"/>
    </xf>
    <xf numFmtId="168" fontId="5" fillId="0" borderId="5" applyAlignment="1" pivotButton="0" quotePrefix="0" xfId="0">
      <alignment horizontal="center" vertical="center"/>
    </xf>
    <xf numFmtId="0" fontId="24" fillId="0" borderId="5" applyAlignment="1" pivotButton="0" quotePrefix="0" xfId="0">
      <alignment horizontal="center" vertical="center" wrapText="1"/>
    </xf>
    <xf numFmtId="1" fontId="0" fillId="0" borderId="20" applyAlignment="1" pivotButton="0" quotePrefix="0" xfId="0">
      <alignment wrapText="1"/>
    </xf>
    <xf numFmtId="1" fontId="0" fillId="0" borderId="5" applyAlignment="1" pivotButton="0" quotePrefix="0" xfId="0">
      <alignment wrapText="1"/>
    </xf>
    <xf numFmtId="170" fontId="38" fillId="9" borderId="0" applyProtection="1" pivotButton="0" quotePrefix="0" xfId="0">
      <protection locked="0" hidden="0"/>
    </xf>
    <xf numFmtId="4" fontId="38" fillId="9" borderId="0" applyProtection="1" pivotButton="0" quotePrefix="0" xfId="0">
      <protection locked="0" hidden="0"/>
    </xf>
    <xf numFmtId="0" fontId="38" fillId="9" borderId="0" applyProtection="1" pivotButton="0" quotePrefix="0" xfId="0">
      <protection locked="0" hidden="0"/>
    </xf>
    <xf numFmtId="0" fontId="38" fillId="9" borderId="0" applyProtection="1" pivotButton="0" quotePrefix="0" xfId="3">
      <protection locked="0" hidden="0"/>
    </xf>
    <xf numFmtId="0" fontId="39" fillId="9" borderId="0" applyProtection="1" pivotButton="0" quotePrefix="0" xfId="0">
      <protection locked="0" hidden="0"/>
    </xf>
    <xf numFmtId="169" fontId="11" fillId="0" borderId="5" applyAlignment="1" pivotButton="0" quotePrefix="0" xfId="5">
      <alignment horizontal="right" vertical="center" wrapText="1"/>
    </xf>
    <xf numFmtId="169" fontId="11" fillId="15" borderId="5" applyAlignment="1" pivotButton="0" quotePrefix="0" xfId="5">
      <alignment horizontal="right" vertical="center" wrapText="1"/>
    </xf>
    <xf numFmtId="0" fontId="35" fillId="16" borderId="7" applyAlignment="1" applyProtection="1" pivotButton="0" quotePrefix="0" xfId="0">
      <alignment horizontal="center" vertical="center" wrapText="1"/>
      <protection locked="0" hidden="0"/>
    </xf>
    <xf numFmtId="0" fontId="24" fillId="16" borderId="7" applyAlignment="1" applyProtection="1" pivotButton="0" quotePrefix="0" xfId="0">
      <alignment horizontal="center" vertical="center" wrapText="1"/>
      <protection locked="0" hidden="0"/>
    </xf>
    <xf numFmtId="0" fontId="4" fillId="17" borderId="7" applyAlignment="1" applyProtection="1" pivotButton="0" quotePrefix="0" xfId="0">
      <alignment horizontal="center" vertical="center" wrapText="1"/>
      <protection locked="0" hidden="0"/>
    </xf>
    <xf numFmtId="0" fontId="4" fillId="18" borderId="27" applyAlignment="1" applyProtection="1" pivotButton="0" quotePrefix="0" xfId="0">
      <alignment horizontal="center" vertical="center" wrapText="1"/>
      <protection locked="0" hidden="0"/>
    </xf>
    <xf numFmtId="0" fontId="10" fillId="0" borderId="5" pivotButton="0" quotePrefix="0" xfId="0"/>
    <xf numFmtId="171" fontId="0" fillId="0" borderId="5" applyAlignment="1" pivotButton="0" quotePrefix="0" xfId="6">
      <alignment vertical="center"/>
    </xf>
    <xf numFmtId="0" fontId="29" fillId="9" borderId="0" applyAlignment="1" applyProtection="1" pivotButton="0" quotePrefix="0" xfId="0">
      <alignment horizontal="center"/>
      <protection locked="0" hidden="0"/>
    </xf>
    <xf numFmtId="0" fontId="30" fillId="9" borderId="0" applyAlignment="1" applyProtection="1" pivotButton="0" quotePrefix="0" xfId="0">
      <alignment horizontal="left" vertical="center"/>
      <protection locked="0" hidden="0"/>
    </xf>
    <xf numFmtId="0" fontId="33" fillId="11" borderId="0" applyAlignment="1" pivotButton="0" quotePrefix="0" xfId="0">
      <alignment horizontal="center"/>
    </xf>
    <xf numFmtId="0" fontId="33" fillId="12" borderId="0" applyAlignment="1" pivotButton="0" quotePrefix="0" xfId="0">
      <alignment horizontal="center"/>
    </xf>
    <xf numFmtId="0" fontId="33" fillId="12" borderId="4" applyAlignment="1" pivotButton="0" quotePrefix="0" xfId="0">
      <alignment horizontal="center"/>
    </xf>
    <xf numFmtId="0" fontId="33" fillId="11" borderId="5" applyAlignment="1" pivotButton="0" quotePrefix="0" xfId="0">
      <alignment horizontal="center"/>
    </xf>
    <xf numFmtId="0" fontId="33" fillId="12" borderId="44" applyAlignment="1" pivotButton="0" quotePrefix="0" xfId="0">
      <alignment horizontal="center"/>
    </xf>
    <xf numFmtId="0" fontId="33" fillId="11" borderId="44" applyAlignment="1" pivotButton="0" quotePrefix="0" xfId="0">
      <alignment horizontal="center"/>
    </xf>
    <xf numFmtId="0" fontId="33" fillId="11" borderId="42" applyAlignment="1" pivotButton="0" quotePrefix="0" xfId="0">
      <alignment horizontal="center"/>
    </xf>
    <xf numFmtId="0" fontId="33" fillId="11" borderId="33" applyAlignment="1" pivotButton="0" quotePrefix="0" xfId="0">
      <alignment horizontal="center"/>
    </xf>
    <xf numFmtId="0" fontId="33" fillId="11" borderId="34" applyAlignment="1" pivotButton="0" quotePrefix="0" xfId="0">
      <alignment horizontal="center"/>
    </xf>
    <xf numFmtId="0" fontId="33" fillId="12" borderId="43" applyAlignment="1" pivotButton="0" quotePrefix="0" xfId="0">
      <alignment horizontal="center"/>
    </xf>
    <xf numFmtId="0" fontId="33" fillId="12" borderId="45" applyAlignment="1" pivotButton="0" quotePrefix="0" xfId="0">
      <alignment horizontal="center"/>
    </xf>
    <xf numFmtId="0" fontId="33" fillId="11" borderId="43" applyAlignment="1" pivotButton="0" quotePrefix="0" xfId="0">
      <alignment horizontal="center"/>
    </xf>
    <xf numFmtId="0" fontId="33" fillId="11" borderId="45" applyAlignment="1" pivotButton="0" quotePrefix="0" xfId="0">
      <alignment horizontal="center"/>
    </xf>
    <xf numFmtId="0" fontId="33" fillId="11" borderId="4" applyAlignment="1" pivotButton="0" quotePrefix="0" xfId="0">
      <alignment horizontal="center"/>
    </xf>
    <xf numFmtId="0" fontId="33" fillId="11" borderId="47" applyAlignment="1" pivotButton="0" quotePrefix="0" xfId="0">
      <alignment horizontal="center"/>
    </xf>
    <xf numFmtId="4" fontId="40" fillId="0" borderId="9" applyAlignment="1" pivotButton="0" quotePrefix="0" xfId="0">
      <alignment horizontal="right"/>
    </xf>
    <xf numFmtId="1" fontId="41" fillId="0" borderId="5" pivotButton="0" quotePrefix="0" xfId="0"/>
    <xf numFmtId="169" fontId="27" fillId="0" borderId="5" pivotButton="0" quotePrefix="0" xfId="0"/>
    <xf numFmtId="169" fontId="11" fillId="0" borderId="5" applyAlignment="1" pivotButton="0" quotePrefix="0" xfId="5">
      <alignment horizontal="right" vertical="center" wrapText="1"/>
    </xf>
    <xf numFmtId="169" fontId="10" fillId="0" borderId="5" applyAlignment="1" pivotButton="0" quotePrefix="0" xfId="5">
      <alignment wrapText="1"/>
    </xf>
    <xf numFmtId="170" fontId="38" fillId="9" borderId="0" applyProtection="1" pivotButton="0" quotePrefix="0" xfId="0">
      <protection locked="0" hidden="0"/>
    </xf>
    <xf numFmtId="171" fontId="0" fillId="0" borderId="5" applyAlignment="1" pivotButton="0" quotePrefix="0" xfId="6">
      <alignment vertical="center"/>
    </xf>
    <xf numFmtId="170" fontId="27" fillId="9" borderId="0" applyProtection="1" pivotButton="0" quotePrefix="0" xfId="0">
      <protection locked="0" hidden="0"/>
    </xf>
    <xf numFmtId="169" fontId="27" fillId="0" borderId="6" pivotButton="0" quotePrefix="0" xfId="0"/>
    <xf numFmtId="169" fontId="11" fillId="15" borderId="5" applyAlignment="1" pivotButton="0" quotePrefix="0" xfId="5">
      <alignment horizontal="right" vertical="center" wrapText="1"/>
    </xf>
    <xf numFmtId="170" fontId="36" fillId="0" borderId="5" pivotButton="0" quotePrefix="0" xfId="0"/>
    <xf numFmtId="164" fontId="10" fillId="0" borderId="5" applyAlignment="1" pivotButton="0" quotePrefix="0" xfId="5">
      <alignment wrapText="1"/>
    </xf>
    <xf numFmtId="169" fontId="0" fillId="0" borderId="5" applyAlignment="1" pivotButton="0" quotePrefix="0" xfId="5">
      <alignment wrapText="1"/>
    </xf>
    <xf numFmtId="169" fontId="0" fillId="0" borderId="8" applyAlignment="1" pivotButton="0" quotePrefix="0" xfId="5">
      <alignment wrapText="1"/>
    </xf>
    <xf numFmtId="170" fontId="27" fillId="9" borderId="41" applyProtection="1" pivotButton="0" quotePrefix="0" xfId="0">
      <protection locked="0" hidden="0"/>
    </xf>
    <xf numFmtId="169" fontId="36" fillId="0" borderId="5" pivotButton="0" quotePrefix="0" xfId="0"/>
    <xf numFmtId="0" fontId="42" fillId="19" borderId="0" applyAlignment="1" pivotButton="0" quotePrefix="0" xfId="0">
      <alignment horizontal="center"/>
    </xf>
    <xf numFmtId="0" fontId="43" fillId="20" borderId="0" pivotButton="0" quotePrefix="0" xfId="0"/>
    <xf numFmtId="164" fontId="10" fillId="0" borderId="5" applyAlignment="1" pivotButton="0" quotePrefix="0" xfId="5">
      <alignment horizontal="center" vertical="center" wrapText="1"/>
    </xf>
    <xf numFmtId="164" fontId="11" fillId="0" borderId="5" applyAlignment="1" pivotButton="0" quotePrefix="0" xfId="5">
      <alignment horizontal="center" vertical="center" wrapText="1"/>
    </xf>
    <xf numFmtId="167" fontId="0" fillId="0" borderId="0" applyAlignment="1" pivotButton="0" quotePrefix="0" xfId="0">
      <alignment horizontal="right" vertical="top" wrapText="1"/>
    </xf>
    <xf numFmtId="0" fontId="42" fillId="0" borderId="0" pivotButton="0" quotePrefix="0" xfId="0"/>
    <xf numFmtId="0" fontId="0" fillId="0" borderId="12" pivotButton="0" quotePrefix="0" xfId="0"/>
    <xf numFmtId="0" fontId="0" fillId="0" borderId="44" pivotButton="0" quotePrefix="0" xfId="0"/>
    <xf numFmtId="167" fontId="0" fillId="0" borderId="0" applyAlignment="1" pivotButton="0" quotePrefix="0" xfId="0">
      <alignment horizontal="right" vertical="center" wrapText="1"/>
    </xf>
    <xf numFmtId="164" fontId="5" fillId="0" borderId="5" applyAlignment="1" pivotButton="0" quotePrefix="0" xfId="5">
      <alignment horizontal="center" vertical="center" wrapText="1"/>
    </xf>
    <xf numFmtId="164" fontId="0" fillId="0" borderId="5" applyAlignment="1" pivotButton="0" quotePrefix="0" xfId="5">
      <alignment wrapText="1"/>
    </xf>
    <xf numFmtId="164" fontId="0" fillId="0" borderId="5" applyAlignment="1" pivotButton="0" quotePrefix="0" xfId="5">
      <alignment horizontal="center" vertical="center" wrapText="1"/>
    </xf>
    <xf numFmtId="166" fontId="0" fillId="0" borderId="0" applyAlignment="1" pivotButton="0" quotePrefix="0" xfId="0">
      <alignment horizontal="right" vertical="center" wrapText="1"/>
    </xf>
    <xf numFmtId="0" fontId="0" fillId="0" borderId="50" pivotButton="0" quotePrefix="0" xfId="0"/>
    <xf numFmtId="0" fontId="33" fillId="12" borderId="51" applyAlignment="1" pivotButton="0" quotePrefix="0" xfId="0">
      <alignment horizontal="center"/>
    </xf>
    <xf numFmtId="0" fontId="0" fillId="0" borderId="45" pivotButton="0" quotePrefix="0" xfId="0"/>
    <xf numFmtId="0" fontId="33" fillId="11" borderId="51" applyAlignment="1" pivotButton="0" quotePrefix="0" xfId="0">
      <alignment horizontal="center"/>
    </xf>
    <xf numFmtId="168" fontId="5" fillId="0" borderId="5" applyAlignment="1" pivotButton="0" quotePrefix="0" xfId="0">
      <alignment horizontal="center" vertical="center"/>
    </xf>
    <xf numFmtId="168" fontId="0" fillId="0" borderId="5" applyAlignment="1" pivotButton="0" quotePrefix="0" xfId="0">
      <alignment horizontal="center" vertical="center"/>
    </xf>
    <xf numFmtId="164" fontId="0" fillId="0" borderId="0" applyAlignment="1" pivotButton="0" quotePrefix="0" xfId="5">
      <alignment horizontal="right"/>
    </xf>
    <xf numFmtId="164" fontId="15" fillId="0" borderId="5" applyAlignment="1" pivotButton="0" quotePrefix="0" xfId="5">
      <alignment horizontal="right" wrapText="1"/>
    </xf>
    <xf numFmtId="164" fontId="15" fillId="0" borderId="5" applyAlignment="1" pivotButton="0" quotePrefix="0" xfId="5">
      <alignment horizontal="right" vertical="center" wrapText="1"/>
    </xf>
    <xf numFmtId="164" fontId="15" fillId="0" borderId="5" applyAlignment="1" pivotButton="0" quotePrefix="0" xfId="5">
      <alignment wrapText="1"/>
    </xf>
    <xf numFmtId="164" fontId="15" fillId="0" borderId="5" applyAlignment="1" pivotButton="0" quotePrefix="0" xfId="5">
      <alignment horizontal="center" vertical="center" wrapText="1"/>
    </xf>
    <xf numFmtId="165" fontId="0" fillId="0" borderId="0" applyAlignment="1" pivotButton="0" quotePrefix="0" xfId="0">
      <alignment horizontal="right" vertical="center" wrapText="1"/>
    </xf>
  </cellXfs>
  <cellStyles count="7">
    <cellStyle name="Standaard" xfId="0" builtinId="0"/>
    <cellStyle name="Standaard 2" xfId="1"/>
    <cellStyle name="Percent" xfId="2"/>
    <cellStyle name="Standaard 3" xfId="3"/>
    <cellStyle name="Hyperlink 2" xfId="4"/>
    <cellStyle name="Currency" xfId="5"/>
    <cellStyle name="Komma" xfId="6" builtinId="3"/>
  </cellStyles>
  <dxfs count="542">
    <dxf>
      <font>
        <b val="1"/>
        <color rgb="FFC62828"/>
      </font>
      <fill>
        <patternFill>
          <bgColor rgb="FFF8D7DA"/>
        </patternFill>
      </fill>
    </dxf>
    <dxf>
      <font>
        <b val="1"/>
        <color rgb="FF8A6D3B"/>
      </font>
      <fill>
        <patternFill>
          <bgColor rgb="FFFFF3CD"/>
        </patternFill>
      </fill>
    </dxf>
    <dxf>
      <font>
        <b val="1"/>
        <color rgb="FF2E7D32"/>
      </font>
      <fill>
        <patternFill>
          <bgColor rgb="FFDFF0D8"/>
        </patternFill>
      </fill>
    </dxf>
    <dxf>
      <font>
        <b val="1"/>
        <color rgb="FFC62828"/>
      </font>
      <fill>
        <patternFill>
          <bgColor rgb="FFF8D7DA"/>
        </patternFill>
      </fill>
    </dxf>
    <dxf>
      <font>
        <b val="1"/>
        <color rgb="FF8A6D3B"/>
      </font>
      <fill>
        <patternFill>
          <bgColor rgb="FFFFF3CD"/>
        </patternFill>
      </fill>
    </dxf>
    <dxf>
      <font>
        <b val="1"/>
        <color rgb="FF2E7D32"/>
      </font>
      <fill>
        <patternFill>
          <bgColor rgb="FFDFF0D8"/>
        </patternFill>
      </fill>
    </dxf>
    <dxf>
      <alignment horizontal="general" vertical="top" wrapText="1"/>
    </dxf>
    <dxf>
      <alignment horizontal="general" vertical="top" wrapText="1"/>
    </dxf>
    <dxf>
      <alignment horizontal="general" vertical="top" wrapText="1"/>
    </dxf>
    <dxf>
      <alignment horizontal="general" vertical="top" wrapText="1"/>
    </dxf>
    <dxf>
      <alignment horizontal="general" vertical="top" wrapText="1"/>
    </dxf>
    <dxf>
      <font>
        <name val="Calibri"/>
        <family val="2"/>
        <strike val="0"/>
        <outline val="0"/>
        <shadow val="0"/>
        <color theme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left" vertical="top" wrapText="1"/>
    </dxf>
    <dxf>
      <alignment horizontal="left" vertical="top" wrapText="1"/>
    </dxf>
    <dxf>
      <alignment horizontal="left" vertical="top" wrapText="1"/>
    </dxf>
    <dxf>
      <alignment horizontal="left" vertical="top" wrapText="1"/>
    </dxf>
    <dxf>
      <alignment horizontal="left" vertical="top" wrapText="1"/>
    </dxf>
    <dxf>
      <font>
        <name val="Calibri"/>
        <family val="2"/>
        <strike val="0"/>
        <outline val="0"/>
        <shadow val="0"/>
        <color theme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ont>
        <b val="1"/>
      </font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center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font>
        <b val="1"/>
      </font>
      <alignment horizontal="general" vertical="bottom" wrapText="1"/>
    </dxf>
    <dxf>
      <alignment horizontal="general" vertical="bottom" wrapText="1"/>
    </dxf>
    <dxf>
      <font>
        <name val="Calibri"/>
        <family val="2"/>
        <strike val="0"/>
        <outline val="0"/>
        <shadow val="0"/>
        <color theme="0"/>
        <sz val="11"/>
        <vertAlign val="baseline"/>
        <scheme val="minor"/>
      </font>
      <alignment horizontal="general" vertical="bottom" wrapText="1"/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34" formatCode="_ &quot;€&quot;\ * #,##0.00_ ;_ &quot;€&quot;\ * \-#,##0.00_ ;_ &quot;€&quot;\ * &quot;-&quot;??_ ;_ @_ "/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fill>
        <patternFill>
          <fgColor indexed="64"/>
          <bgColor auto="1"/>
        </patternFill>
      </fill>
      <alignment horizontal="general" vertical="bottom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4" formatCode="#,##0.00"/>
      <fill>
        <patternFill>
          <fgColor indexed="64"/>
          <bgColor auto="1"/>
        </patternFill>
      </fill>
      <alignment horizontal="general" vertical="bottom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sz val="11"/>
        <vertAlign val="baseline"/>
        <scheme val="minor"/>
      </font>
      <numFmt numFmtId="1" formatCode="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numFmt numFmtId="0" formatCode="General"/>
      <fill>
        <patternFill patternType="solid">
          <fgColor indexed="64"/>
          <bgColor theme="9" tint="0.7999816888943144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fill>
        <patternFill>
          <fgColor indexed="64"/>
          <bgColor auto="1"/>
        </patternFill>
      </fill>
      <alignment horizontal="general" vertical="bottom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fill>
        <patternFill>
          <fgColor indexed="64"/>
          <bgColor auto="1"/>
        </patternFill>
      </fill>
      <alignment horizontal="general" vertical="bottom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fill>
        <patternFill>
          <fgColor indexed="64"/>
          <bgColor auto="1"/>
        </patternFill>
      </fill>
      <alignment horizontal="general" vertical="bottom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fill>
        <patternFill>
          <fgColor indexed="64"/>
          <bgColor auto="1"/>
        </patternFill>
      </fill>
      <alignment horizontal="general" vertical="bottom" wrapText="1"/>
      <border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1"/>
      </font>
      <numFmt numFmtId="13" formatCode="0%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3" formatCode="0%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general" vertical="bottom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general" vertical="bottom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general" vertical="bottom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border>
        <bottom style="medium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  <scheme val="minor"/>
      </font>
      <fill>
        <patternFill patternType="solid">
          <fgColor rgb="FF000000"/>
          <bgColor rgb="FF196B24"/>
        </patternFill>
      </fill>
      <alignment horizontal="center" vertical="bottom"/>
    </dxf>
    <dxf>
      <alignment horizontal="general" vertical="center" wrapText="1"/>
    </dxf>
    <dxf>
      <alignment horizontal="general" vertical="center" wrapText="1"/>
    </dxf>
    <dxf>
      <alignment horizontal="right" vertical="center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ont>
        <b val="1"/>
      </font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center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bottom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bottom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bottom" wrapText="1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bottom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bottom" wrapText="1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alignment horizontal="general" vertical="bottom" wrapText="1"/>
    </dxf>
    <dxf>
      <numFmt numFmtId="12" formatCode="&quot;€&quot;\ #,##0.00;[Red]&quot;€&quot;\ \-#,##0.00"/>
      <alignment horizontal="right" vertical="center" wrapText="1"/>
    </dxf>
    <dxf>
      <numFmt numFmtId="13" formatCode="0%"/>
      <alignment horizontal="right" vertical="center" wrapText="1"/>
    </dxf>
    <dxf>
      <numFmt numFmtId="10" formatCode="&quot;€&quot;\ #,##0;[Red]&quot;€&quot;\ \-#,##0"/>
      <alignment horizontal="right" vertical="center" wrapText="1"/>
    </dxf>
    <dxf>
      <alignment horizontal="general" vertical="center" wrapText="1"/>
    </dxf>
    <dxf>
      <alignment horizontal="right" vertical="center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right" vertical="center" wrapText="1"/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4" formatCode="#,##0.00"/>
      <fill>
        <patternFill>
          <fgColor indexed="64"/>
          <bgColor auto="1"/>
        </patternFill>
      </fill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general" vertical="bottom" wrapText="1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" formatCode="0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0" formatCode="General"/>
      <fill>
        <patternFill patternType="solid">
          <fgColor indexed="64"/>
          <bgColor theme="9" tint="0.7999816888943144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3" formatCode="0%"/>
      <alignment horizontal="general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right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right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right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right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right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bottom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</dxf>
    <dxf>
      <border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  <scheme val="minor"/>
      </font>
      <fill>
        <patternFill patternType="solid">
          <fgColor rgb="FF000000"/>
          <bgColor rgb="FF196B24"/>
        </patternFill>
      </fill>
      <alignment horizontal="center" vertical="bottom"/>
    </dxf>
    <dxf>
      <alignment horizontal="general" vertical="center" wrapText="1"/>
    </dxf>
    <dxf>
      <alignment horizontal="general" vertical="center" wrapText="1"/>
    </dxf>
    <dxf>
      <alignment horizontal="right" vertical="center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ont>
        <b val="1"/>
      </font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center" wrapText="1"/>
    </dxf>
    <dxf>
      <alignment horizontal="right" vertical="center" wrapText="1"/>
    </dxf>
    <dxf>
      <alignment horizontal="right" vertical="center" wrapText="1"/>
    </dxf>
    <dxf>
      <alignment horizontal="general" vertical="center" wrapText="1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right" vertical="center" wrapText="1"/>
      <border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3" formatCode="0%"/>
      <alignment horizontal="right" vertical="center" wrapText="1"/>
      <border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right" vertical="center" wrapText="1"/>
      <border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 wrapText="1"/>
      <border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right" vertical="center" wrapText="1"/>
    </dxf>
    <dxf>
      <border outline="0">
        <bottom style="thin">
          <color theme="1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right" vertical="center" wrapText="1"/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4" formatCode="#,##0.00"/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4" formatCode="#,##0.00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4" formatCode="#,##0.00"/>
      <fill>
        <patternFill>
          <fgColor indexed="64"/>
          <bgColor auto="1"/>
        </patternFill>
      </fill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4" formatCode="#,##0.00"/>
      <fill>
        <patternFill>
          <fgColor indexed="64"/>
          <bgColor auto="1"/>
        </patternFill>
      </fill>
      <alignment horizontal="general" vertical="bottom" wrapText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3" formatCode="0%"/>
      <alignment horizontal="right" vertical="bottom" wrapText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0" formatCode="General"/>
      <alignment horizontal="right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0" formatCode="General"/>
      <alignment horizontal="right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3" formatCode="0%"/>
      <alignment horizontal="right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3" formatCode="0%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" formatCode="0"/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" formatCode="0"/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1" formatCode="0"/>
      <alignment horizontal="general" vertical="bottom" wrapText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left" vertical="center" wrapText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2" formatCode="0.00"/>
      <alignment horizontal="center" vertical="center" wrapText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right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alignment horizontal="right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alignment horizontal="right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alignment horizontal="right" wrapText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/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  <scheme val="minor"/>
      </font>
      <fill>
        <patternFill patternType="solid">
          <fgColor rgb="FF000000"/>
          <bgColor rgb="FF196B24"/>
        </patternFill>
      </fill>
      <alignment horizontal="center" vertical="bottom"/>
    </dxf>
    <dxf>
      <alignment horizontal="general" vertical="center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right" vertical="center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ont>
        <b val="1"/>
      </font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center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left" vertical="top" wrapText="1"/>
    </dxf>
    <dxf>
      <alignment horizontal="left" vertical="top" wrapText="1"/>
    </dxf>
    <dxf>
      <alignment horizontal="left" vertical="top" wrapText="1"/>
    </dxf>
    <dxf>
      <font>
        <b val="1"/>
      </font>
      <alignment horizontal="left" vertical="top" wrapText="1"/>
    </dxf>
    <dxf>
      <alignment horizontal="left" vertical="top" wrapText="1"/>
    </dxf>
    <dxf>
      <font>
        <name val="Calibri"/>
        <family val="2"/>
        <strike val="0"/>
        <outline val="0"/>
        <shadow val="0"/>
        <color theme="0"/>
        <sz val="11"/>
        <vertAlign val="baseline"/>
        <scheme val="minor"/>
      </font>
      <alignment horizontal="general" vertical="bottom" wrapText="1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2" formatCode="&quot;€&quot;\ #,##0.00;[Red]&quot;€&quot;\ \-#,##0.00"/>
      <alignment horizontal="right" vertical="center" wrapText="1"/>
    </dxf>
    <dxf>
      <font/>
      <numFmt numFmtId="13" formatCode="0%"/>
      <alignment horizontal="right" vertical="center" wrapText="1"/>
    </dxf>
    <dxf>
      <font/>
      <numFmt numFmtId="12" formatCode="&quot;€&quot;\ #,##0.00;[Red]&quot;€&quot;\ \-#,##0.00"/>
      <alignment horizontal="right" vertical="center" wrapText="1"/>
    </dxf>
    <dxf>
      <font/>
      <alignment horizontal="general" vertical="center" wrapText="1"/>
    </dxf>
    <dxf>
      <font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right" vertical="center" wrapText="1"/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34" formatCode="_ &quot;€&quot;\ * #,##0.00_ ;_ &quot;€&quot;\ * \-#,##0.00_ ;_ &quot;€&quot;\ * &quot;-&quot;??_ ;_ @_ 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34" formatCode="_ &quot;€&quot;\ * #,##0.00_ ;_ &quot;€&quot;\ * \-#,##0.00_ ;_ &quot;€&quot;\ * &quot;-&quot;??_ ;_ @_ 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4" formatCode="#,##0.00"/>
      <fill>
        <patternFill>
          <fgColor indexed="64"/>
          <bgColor auto="1"/>
        </patternFill>
      </fill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b val="1"/>
        <i val="1"/>
        <strike val="0"/>
        <outline val="0"/>
        <shadow val="0"/>
        <color theme="1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 patternType="solid">
          <fgColor indexed="64"/>
          <bgColor theme="6" tint="0.7999816888943144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general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right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right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alignment horizontal="right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bottom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border outline="0"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</dxf>
    <dxf>
      <border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  <scheme val="minor"/>
      </font>
      <fill>
        <patternFill patternType="solid">
          <fgColor rgb="FF000000"/>
          <bgColor rgb="FF196B24"/>
        </patternFill>
      </fill>
      <alignment horizontal="center" vertical="bottom"/>
    </dxf>
    <dxf>
      <alignment horizontal="general" vertical="center" wrapText="1"/>
    </dxf>
    <dxf>
      <alignment horizontal="general" vertical="center" wrapText="1"/>
    </dxf>
    <dxf>
      <alignment horizontal="right" vertical="center" wrapText="1"/>
    </dxf>
    <dxf>
      <fill>
        <patternFill>
          <fgColor indexed="64"/>
          <bgColor indexed="65"/>
        </patternFill>
      </fill>
      <alignment horizontal="general" vertical="top" wrapText="1"/>
    </dxf>
    <dxf>
      <fill>
        <patternFill>
          <fgColor indexed="64"/>
          <bgColor indexed="65"/>
        </patternFill>
      </fill>
      <alignment horizontal="general" vertical="top" wrapText="1"/>
    </dxf>
    <dxf>
      <fill>
        <patternFill>
          <fgColor indexed="64"/>
          <bgColor indexed="65"/>
        </patternFill>
      </fill>
      <alignment horizontal="general" vertical="top" wrapText="1"/>
    </dxf>
    <dxf>
      <fill>
        <patternFill>
          <fgColor indexed="64"/>
          <bgColor indexed="65"/>
        </patternFill>
      </fill>
      <alignment horizontal="general" vertical="top" wrapText="1"/>
    </dxf>
    <dxf>
      <font>
        <b val="1"/>
      </font>
      <fill>
        <patternFill>
          <fgColor indexed="64"/>
          <bgColor indexed="65"/>
        </patternFill>
      </fill>
      <alignment horizontal="general" vertical="top" wrapText="1"/>
    </dxf>
    <dxf>
      <fill>
        <patternFill>
          <fgColor indexed="64"/>
          <bgColor indexed="65"/>
        </patternFill>
      </fill>
      <alignment horizontal="general" vertical="top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alignment horizontal="general" vertical="bottom" wrapText="1"/>
    </dxf>
    <dxf>
      <alignment horizontal="right" vertical="center" wrapText="1"/>
    </dxf>
    <dxf>
      <numFmt numFmtId="13" formatCode="0%"/>
      <alignment horizontal="right" vertical="center" wrapText="1"/>
    </dxf>
    <dxf>
      <numFmt numFmtId="165" formatCode="_ [$€-413]\ * #,##0.00_ ;_ [$€-413]\ * \-#,##0.00_ ;_ [$€-413]\ * &quot;-&quot;??_ ;_ @_ "/>
      <alignment horizontal="right" vertical="center" wrapText="1"/>
    </dxf>
    <dxf>
      <alignment horizontal="general" vertical="center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right" vertical="center" wrapText="1"/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34" formatCode="_ &quot;€&quot;\ * #,##0.00_ ;_ &quot;€&quot;\ * \-#,##0.00_ ;_ &quot;€&quot;\ * &quot;-&quot;??_ ;_ @_ 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34" formatCode="_ &quot;€&quot;\ * #,##0.00_ ;_ &quot;€&quot;\ * \-#,##0.00_ ;_ &quot;€&quot;\ * &quot;-&quot;??_ ;_ @_ 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4" formatCode="#,##0.0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center" vertical="center"/>
      <border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general" vertical="bottom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" formatCode="0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 patternType="solid">
          <fgColor indexed="64"/>
          <bgColor theme="9" tint="0.7999816888943144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" formatCode="0"/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0.000"/>
      <alignment horizontal="general" vertical="bottom" wrapText="1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 patternType="solid">
          <fgColor indexed="64"/>
          <bgColor theme="6" tint="0.7999816888943144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3" formatCode="0%"/>
      <alignment horizontal="general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general" vertical="bottom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border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  <scheme val="minor"/>
      </font>
      <fill>
        <patternFill patternType="solid">
          <fgColor rgb="FF000000"/>
          <bgColor rgb="FF196B24"/>
        </patternFill>
      </fill>
      <alignment horizontal="center" vertical="bottom"/>
    </dxf>
    <dxf>
      <alignment horizontal="general" vertical="center" wrapText="1"/>
    </dxf>
    <dxf>
      <alignment horizontal="general" vertical="center" wrapText="1"/>
    </dxf>
    <dxf>
      <alignment horizontal="right" vertical="center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ont>
        <b val="1"/>
      </font>
      <fill>
        <patternFill>
          <fgColor indexed="64"/>
          <bgColor auto="1"/>
        </patternFill>
      </fill>
      <alignment horizontal="general" vertical="top" wrapText="1"/>
    </dxf>
    <dxf>
      <fill>
        <patternFill>
          <fgColor indexed="64"/>
          <bgColor auto="1"/>
        </patternFill>
      </fill>
      <alignment horizontal="general" vertical="top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alignment horizontal="general" vertical="top" wrapText="1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alignment horizontal="general" vertical="top" wrapText="1"/>
    </dxf>
    <dxf>
      <alignment horizontal="right" vertical="top" wrapText="1"/>
    </dxf>
    <dxf>
      <numFmt numFmtId="13" formatCode="0%"/>
      <alignment horizontal="right" vertical="top" wrapText="1"/>
    </dxf>
    <dxf>
      <numFmt numFmtId="165" formatCode="_ [$€-413]\ * #,##0.00_ ;_ [$€-413]\ * \-#,##0.00_ ;_ [$€-413]\ * &quot;-&quot;??_ ;_ @_ "/>
      <alignment horizontal="right" vertical="top" wrapText="1"/>
    </dxf>
    <dxf>
      <alignment horizontal="general" vertical="top" wrapText="1"/>
    </dxf>
    <dxf>
      <alignment vertical="top" wrapText="1"/>
    </dxf>
    <dxf>
      <alignment vertical="top" wrapText="1"/>
    </dxf>
    <dxf>
      <font>
        <name val="Calibri"/>
        <family val="2"/>
        <b val="1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34" formatCode="_ &quot;€&quot;\ * #,##0.00_ ;_ &quot;€&quot;\ * \-#,##0.00_ ;_ &quot;€&quot;\ * &quot;-&quot;??_ ;_ @_ "/>
      <fill>
        <patternFill>
          <fgColor indexed="64"/>
          <bgColor auto="1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4" formatCode="#,##0.00"/>
      <fill>
        <patternFill>
          <fgColor indexed="64"/>
          <bgColor auto="1"/>
        </patternFill>
      </fill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i val="1"/>
      </font>
      <numFmt numFmtId="0" formatCode="General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1"/>
      </font>
      <numFmt numFmtId="0" formatCode="General"/>
      <alignment horizontal="right" vertical="bottom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/>
      <numFmt numFmtId="1" formatCode="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/>
      <numFmt numFmtId="1" formatCode="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/>
      <numFmt numFmtId="1" formatCode="0"/>
      <alignment horizontal="righ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/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numFmt numFmtId="0" formatCode="General"/>
      <fill>
        <patternFill patternType="solid">
          <fgColor indexed="64"/>
          <bgColor theme="6" tint="0.7999816888943144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3" formatCode="0%"/>
      <alignment horizontal="general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b val="1"/>
        <strike val="0"/>
        <outline val="0"/>
        <shadow val="0"/>
        <sz val="11"/>
        <vertAlign val="baseline"/>
        <scheme val="minor"/>
      </font>
      <numFmt numFmtId="13" formatCode="0%"/>
      <fill>
        <patternFill>
          <fgColor indexed="64"/>
          <bgColor auto="1"/>
        </patternFill>
      </fill>
      <alignment horizontal="righ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alignment horizontal="left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general" vertical="bottom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border>
        <bottom style="medium">
          <color indexed="64"/>
        </bottom>
      </border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 wrapText="1"/>
    </dxf>
    <dxf>
      <alignment horizontal="general" vertical="center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 wrapText="1"/>
    </dxf>
    <dxf>
      <numFmt numFmtId="13" formatCode="0%"/>
      <fill>
        <patternFill>
          <fgColor indexed="64"/>
          <bgColor auto="1"/>
        </patternFill>
      </fill>
      <alignment horizontal="general" vertical="center" wrapText="1"/>
    </dxf>
    <dxf>
      <fill>
        <patternFill>
          <fgColor indexed="64"/>
          <bgColor auto="1"/>
        </patternFill>
      </fill>
      <alignment horizontal="general" vertical="center" wrapText="1"/>
    </dxf>
    <dxf>
      <fill>
        <patternFill>
          <fgColor indexed="64"/>
          <bgColor auto="1"/>
        </patternFill>
      </fill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auto="1"/>
        </patternFill>
      </fill>
    </dxf>
    <dxf>
      <alignment horizontal="general" vertical="bottom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</font>
      <numFmt numFmtId="166" formatCode="\€\ #,##0.00;[Red]\-\€\ #,##0.00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67" formatCode="&quot;€&quot;\ #,##0.00"/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3" formatCode="0%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fill>
        <patternFill>
          <fgColor indexed="64"/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protection locked="0" hidden="0"/>
    </dxf>
    <dxf>
      <border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  <protection locked="0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</font>
      <numFmt numFmtId="167" formatCode="&quot;€&quot;\ #,##0.00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67" formatCode="&quot;€&quot;\ #,##0.00"/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2" formatCode="0.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2" formatCode="0.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2" formatCode="0.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3" formatCode="0%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fill>
        <patternFill>
          <fgColor indexed="64"/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protection locked="0" hidden="0"/>
    </dxf>
    <dxf>
      <border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  <protection locked="0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</font>
      <numFmt numFmtId="166" formatCode="\€\ #,##0.00;[Red]\-\€\ #,##0.00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67" formatCode="&quot;€&quot;\ #,##0.00"/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fill>
        <patternFill>
          <fgColor indexed="64"/>
          <bgColor auto="1"/>
        </patternFill>
      </fill>
      <alignment horizontal="right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alignment horizontal="right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alignment horizontal="right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alignment horizontal="right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3" formatCode="0%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fill>
        <patternFill>
          <fgColor indexed="64"/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protection locked="0" hidden="0"/>
    </dxf>
    <dxf>
      <border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  <protection locked="0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</font>
      <numFmt numFmtId="166" formatCode="\€\ #,##0.00;[Red]\-\€\ #,##0.00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34" formatCode="_ &quot;€&quot;\ * #,##0.00_ ;_ &quot;€&quot;\ * \-#,##0.00_ ;_ &quot;€&quot;\ * &quot;-&quot;??_ ;_ @_ "/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3" formatCode="0%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4" formatCode="#,##0.00"/>
      <fill>
        <patternFill>
          <fgColor indexed="64"/>
          <bgColor indexed="65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fill>
        <patternFill>
          <fgColor indexed="64"/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protection locked="0" hidden="0"/>
    </dxf>
    <dxf>
      <border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  <protection locked="0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b val="1"/>
        <strike val="0"/>
        <outline val="0"/>
        <shadow val="0"/>
        <condense val="0"/>
        <color theme="1"/>
        <extend val="0"/>
        <sz val="11"/>
        <vertAlign val="baseline"/>
      </font>
      <numFmt numFmtId="167" formatCode="&quot;€&quot;\ #,##0.00"/>
      <fill>
        <patternFill>
          <fgColor indexed="64"/>
          <bgColor auto="1"/>
        </patternFill>
      </fill>
      <alignment horizontal="right" vertical="center" wrapText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67" formatCode="&quot;€&quot;\ #,##0.00"/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4" formatCode="#,##0.0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fill>
        <patternFill>
          <fgColor indexed="64"/>
          <bgColor auto="1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4" formatCode="#,##0.00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3" formatCode="0%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2" formatCode="0.00"/>
      <fill>
        <patternFill>
          <fgColor indexed="64"/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  <scheme val="minor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2" formatCode="0.00"/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>
          <fgColor indexed="64"/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>
          <fgColor indexed="64"/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protection locked="0" hidden="0"/>
    </dxf>
    <dxf>
      <border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  <protection locked="0" hidden="0"/>
    </dxf>
    <dxf>
      <font>
        <color theme="9"/>
      </font>
    </dxf>
  </dxfs>
  <tableStyles count="1" defaultTableStyle="TableStyleMedium2" defaultPivotStyle="PivotStyleLight16">
    <tableStyle name="Tabelstijl 1" pivot="0" count="1">
      <tableStyleElement type="wholeTable" dxfId="54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OpenAI</author>
    <author>Gebruiker</author>
  </authors>
  <commentList>
    <comment ref="I2" authorId="0" shapeId="0">
      <text>
        <t>Praktische recovery = Technisch terugwinbaar × Gem. score / 5</t>
      </text>
    </comment>
    <comment ref="U2" authorId="1" shapeId="0">
      <text>
        <t xml:space="preserve">Gebruiker:
</t>
      </text>
    </comment>
  </commentList>
</comments>
</file>

<file path=xl/comments/comment2.xml><?xml version="1.0" encoding="utf-8"?>
<comments xmlns="http://schemas.openxmlformats.org/spreadsheetml/2006/main">
  <authors>
    <author>OpenAI</author>
    <author>Gebruiker</author>
    <author>tc={45A7F0D8-CBD5-495D-867B-4AA695B9EAD0}</author>
    <author>tc={EDFFF571-6B94-4B10-8948-3A939EFB1000}</author>
    <author>tc={3EC8A630-8926-46B4-992F-D6B0B1177B66}</author>
  </authors>
  <commentList>
    <comment ref="I2" authorId="0" shapeId="0">
      <text>
        <t>Praktische recovery = Technisch terugwinbaar × Gem. score / 5</t>
      </text>
    </comment>
    <comment ref="U2" authorId="1" shapeId="0">
      <text>
        <t xml:space="preserve">Gebruiker:
</t>
      </text>
    </comment>
    <comment ref="C12" authorId="2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Schoon, recht, goed demontabel staal heeft de beste verkoopbaarheid. </t>
      </text>
    </comment>
    <comment ref="C13" authorId="3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Nog bruikbaar/recyclebaar, maar lagere factor door coating, roest, vervorming of extra sortering. 
</t>
      </text>
    </comment>
    <comment ref="C15" authorId="4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Kan waardevol zijn, maar heeft meer onzekerheid door keuring, maatvoering, certificering of beperkte vraag </t>
      </text>
    </comment>
  </commentList>
</comments>
</file>

<file path=xl/comments/comment3.xml><?xml version="1.0" encoding="utf-8"?>
<comments xmlns="http://schemas.openxmlformats.org/spreadsheetml/2006/main">
  <authors>
    <author>tc={866DD78C-7AE0-40F0-9213-99417782EA23}</author>
    <author>OpenAI</author>
    <author>tc={629E30A8-C649-401E-9A03-9FA2DEB11149}</author>
    <author>Gebruiker</author>
    <author>tc={FC091E61-462E-4B8B-85D0-F472F594EEEC}</author>
    <author>tc={A77B52EA-DFF3-40FD-92CC-DDBD2688E281}</author>
    <author>tc={141F9298-3D80-4B7A-8FD1-491D672DE862}</author>
    <author>tc={D5B79506-C3BF-4F27-8887-A20CA00D1B52}</author>
  </authors>
  <commentList>
    <comment ref="E2" authorId="0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Dit is na overleg met de opdrachtgever 1 /5 ipv 1-5, omdat Het een ja of nee vraag is.</t>
      </text>
    </comment>
    <comment ref="I2" authorId="1" shapeId="0">
      <text>
        <t>Praktische recovery = Technisch terugwinbaar × Gem. score / 5</t>
      </text>
    </comment>
    <comment ref="T2" authorId="2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Kan totale co2 recycling, niet weg omdat het hetzeflde is als hergebruik en hier misschien een kopje van maken</t>
      </text>
    </comment>
    <comment ref="U2" authorId="3" shapeId="0">
      <text>
        <t xml:space="preserve">Gebruiker:
</t>
      </text>
    </comment>
    <comment ref="G4" authorId="4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Schoon betonpuin, ongewapend beton, prefab betonresten, betontegels, betonklinkers 
</t>
      </text>
    </comment>
    <comment ref="H4" authorId="5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Hergebruik of hoogwaardige recycling </t>
      </text>
    </comment>
    <comment ref="G5" authorId="6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Gewapende vloer, betonnen balk, betonnen wand, beton met lichte coating </t>
      </text>
    </comment>
    <comment ref="H5" authorId="7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Recycling tot betongranulaat 
</t>
      </text>
    </comment>
  </commentList>
</comments>
</file>

<file path=xl/comments/comment4.xml><?xml version="1.0" encoding="utf-8"?>
<comments xmlns="http://schemas.openxmlformats.org/spreadsheetml/2006/main">
  <authors>
    <author>OpenAI</author>
    <author>tc={49B945A8-B3D8-49C8-8525-A0C872ED5BE9}</author>
    <author>Gebruiker</author>
    <author>tc={78338529-F088-4291-9D30-65B0F573F248}</author>
    <author>tc={96865A99-3AF0-4675-9D32-C79A953CBCD6}</author>
    <author>tc={E28276EC-50DC-4C26-890B-EB8737F35123}</author>
  </authors>
  <commentList>
    <comment ref="K2" authorId="0" shapeId="0">
      <text>
        <t>Praktische recovery = Technisch terugwinbaar × Gem. score / 5</t>
      </text>
    </comment>
    <comment ref="S2" authorId="1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Voor de vereglijking van hergebruik/recycling met nieuwe productie om de bespaarde/vermeden co2 duidelijk te maken.  </t>
      </text>
    </comment>
    <comment ref="V2" authorId="2" shapeId="0">
      <text>
        <t xml:space="preserve">Gebruiker:
</t>
      </text>
    </comment>
    <comment ref="H4" authorId="3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dakgoten in de praktijk vervuild kunnen zijn door oxidatie, soldeer, kit, verfrestanten of aanhangende bevestigingsmaterialen. (Copper Recycling - International Copper Association, 2022) </t>
      </text>
    </comment>
    <comment ref="I4" authorId="4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(Energy, Climate &amp; Copper, Webinar Series, 2014) 
</t>
      </text>
    </comment>
    <comment ref="H6" authorId="5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Geel koper/messing is geen zuiver rood koper, maar een koperlegering. Daarnaast kunnen koppelingen, kalk, soldeer, kunststofresten of andere metalen aanwezig zijn. Daarom ligt de materiaalconditie lager dan bij schoon rood koper. </t>
      </text>
    </comment>
  </commentList>
</comments>
</file>

<file path=xl/comments/comment5.xml><?xml version="1.0" encoding="utf-8"?>
<comments xmlns="http://schemas.openxmlformats.org/spreadsheetml/2006/main">
  <authors>
    <author>OpenAI</author>
    <author>Gebruiker</author>
    <author>tc={20D2F2E3-FD1B-4B74-80E4-23755F4E0EEB}</author>
    <author>tc={8F6A51F4-361B-4E15-B2BD-77FF316F8AE2}</author>
  </authors>
  <commentList>
    <comment ref="I2" authorId="0" shapeId="0">
      <text>
        <t>Praktische recovery = Technisch terugwinbaar × Gem. score / 5</t>
      </text>
    </comment>
    <comment ref="U2" authorId="1" shapeId="0">
      <text>
        <t xml:space="preserve">Gebruiker:
</t>
      </text>
    </comment>
    <comment ref="C4" authorId="2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omdat profielen en kozijnen vaak mechanisch bevestigd zijn en relatief goed losgemaakt kunnen worden. Geen 5, omdat kit, glas, schroeven, ankers of aansluitdetails extra werk geven </t>
      </text>
    </comment>
    <comment ref="C7" authorId="3" shapeId="0">
      <text>
        <t xml:space="preserve"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Demontagebaarheid krijgt 2,5, omdat composiet- of gemengde materialen vaak moeilijker schoon te scheiden zijn. Materiaalconditie krijgt 2,5, omdat het aluminium vermengd kan zijn met kunststof, lijm, coating of andere materialen. </t>
      </text>
    </comment>
  </commentList>
</comments>
</file>

<file path=xl/comments/comment6.xml><?xml version="1.0" encoding="utf-8"?>
<comments xmlns="http://schemas.openxmlformats.org/spreadsheetml/2006/main">
  <authors>
    <author>OpenAI</author>
    <author>Gebruiker</author>
  </authors>
  <commentList>
    <comment ref="I2" authorId="0" shapeId="0">
      <text>
        <t>Praktische recovery = Technisch terugwinbaar × Gem. score / 5</t>
      </text>
    </comment>
    <comment ref="U2" authorId="1" shapeId="0">
      <text>
        <t xml:space="preserve">Gebruiker:
</t>
      </text>
    </comment>
  </commentList>
</comments>
</file>

<file path=xl/tables/table1.xml><?xml version="1.0" encoding="utf-8"?>
<table xmlns="http://schemas.openxmlformats.org/spreadsheetml/2006/main" id="1" name="Tabel41" displayName="Tabel41" ref="G11:H17" headerRowCount="1" totalsRowShown="0">
  <autoFilter ref="G11:H17"/>
  <tableColumns count="2">
    <tableColumn id="1" name="Lagenda" dataDxfId="395"/>
    <tableColumn id="2" name="Formule" dataDxfId="3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id="2" name="Tabel8" displayName="Tabel8" ref="G19:H22" headerRowCount="1" totalsRowShown="0" headerRowDxfId="393" dataDxfId="392">
  <autoFilter ref="G19:H22"/>
  <tableColumns count="2">
    <tableColumn id="1" name="Routeadvies" dataDxfId="391"/>
    <tableColumn id="2" name="Betekenis" dataDxfId="39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id="3" name="Tabel42" displayName="Tabel42" ref="G26:J30" headerRowCount="1" totalsRowShown="0" headerRowDxfId="389" dataDxfId="388">
  <autoFilter ref="G26:J30"/>
  <tableColumns count="4">
    <tableColumn id="1" name="Categorie" dataDxfId="387"/>
    <tableColumn id="2" name="Wanneer score je Ja?" dataDxfId="386"/>
    <tableColumn id="3" name="Wanneer score je Nee?" dataDxfId="385"/>
    <tableColumn id="4" name="Wanneer score je Handmatig?" dataDxfId="38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el31" displayName="Tabel31" ref="G2:H8" headerRowCount="1" totalsRowShown="0" headerRowDxfId="383" dataDxfId="382">
  <autoFilter ref="G2:H8"/>
  <tableColumns count="2">
    <tableColumn id="1" name="Tabblad in Excel" dataDxfId="381"/>
    <tableColumn id="2" name="Functie binnen het rekenmodel" dataDxfId="380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Tabel26" displayName="Tabel26" ref="A2:X12" headerRowCount="1" totalsRowShown="0" headerRowDxfId="540" dataDxfId="538" headerRowBorderDxfId="539" tableBorderDxfId="537" totalsRowBorderDxfId="536">
  <autoFilter ref="A2:X12"/>
  <sortState ref="A3:X12">
    <sortCondition ref="A2:A12"/>
  </sortState>
  <tableColumns count="24">
    <tableColumn id="1" name="Materiaalstroom" dataDxfId="535" dataCellStyle="Standaard 3"/>
    <tableColumn id="2" name=" Bouwdeel uit BIM" dataDxfId="534" dataCellStyle="Standaard 3"/>
    <tableColumn id="3" name="BIM-volume m³" dataDxfId="533"/>
    <tableColumn id="11" name="Transport Impact" dataDxfId="532"/>
    <tableColumn id="7" name="Transportafstand (km)" dataDxfId="531"/>
    <tableColumn id="8" name="Demonteerbaarheid" dataDxfId="530"/>
    <tableColumn id="9" name="Materiaalconditie " dataDxfId="529"/>
    <tableColumn id="10" name="Marktpotentie " dataDxfId="528"/>
    <tableColumn id="13" name="PRR" dataDxfId="527"/>
    <tableColumn id="16" name="Routeadvies" dataDxfId="526">
      <calculatedColumnFormula>IF(I3="","Handmatig beoordelen",IF(I3&gt;=0.8,"Hergebruik",IF(I3&gt;=0.55,"Hergebruik &gt; recycling",IF(I3&gt;=0.3,"Recycling","Handmatig beoordelen"))))</calculatedColumnFormula>
    </tableColumn>
    <tableColumn id="14" name="Grenswaarde" dataDxfId="525">
      <calculatedColumnFormula>IF(Tabel26[[#This Row],[Routeadvies]]="Hergebruik","&gt;= 0,8",IF(Tabel26[[#This Row],[Routeadvies]]="Hergebruik &gt; recycling","&gt;= 0,55 en &lt; 0,8",IF(Tabel26[[#This Row],[Routeadvies]]="Recycling","&gt;= 0,3 en &lt; 0,55",IF(Tabel26[[#This Row],[Routeadvies]]="Handmatig beoordelen","&lt; 0,3 of geen score",""))))</calculatedColumnFormula>
    </tableColumn>
    <tableColumn id="22" name="Klasse" dataDxfId="524">
      <calculatedColumnFormula>IF($B3="Totaal","Totaal",IF($A3="Hout",IF(OR($B3="Trappen",$B3="Ramen",$B3="Deuren",$B3="Kozijnen",$B3="Dakkapellen",$B3="Dakconstructie"),"Bijzonder hout",IF($G3="","Handmatig beoordelen",IF($G3&gt;=4,"A-hout",IF($G3&gt;=3,"B-hout",IF($G3&gt;0,"C-hout","Handmatig beoordelen"))))),IF($A3="Staal",IF(OR($B3="Kolommen",$B3="Balken",$B3="Liggers",$B3="Buisstaalconstructies",$B3="Kozijnen",$B3="Trappen",$B3="Hekwerken",$B3="Leuningen"),"Bijzonder staal",IF($G3="","Handmatig beoordelen",IF($G3&gt;=4,"A-staal",IF($G3&gt;=2,"B-staal",IF($G3&gt;0,"C-staal","Handmatig beoordelen"))))),IF($A3="Beton",IF(OR($B3="Funderingen",$B3="Heipalen",$B3="Prefab elementen",$B3="Kanaalplaatvloeren",$B3="Breedplaatvloeren",$B3="Trappen",$B3="Gevelpanelen"),"Bijzonder beton",IF($G3="","Handmatig beoordelen",IF($G3&gt;=4,"A-beton",IF($G3&gt;=3,"B-beton",IF($G3&gt;0,"C-beton","Handmatig beoordelen"))))),IF(OR($A3="Aluminium",$A3="Alumiunium"),IF(OR($B3="Ramen",$B3="Deuren",$B3="Kozijnen",$B3="Vliesgevels",$B3="Gevelsystemen",$B3="Zonwering",$B3="Trappen"),"Bijzonder aluminium",IF($G3="","Handmatig beoordelen",IF($G3&gt;=4,"A-aluminium",IF($G3&gt;=3,"B-aluminium",IF($G3&gt;0,"C-aluminium","Handmatig beoordelen"))))),IF($A3="Koper",IF(OR($B3="Installaties",$B3="Technische ruimte",$B3="Verdeelkast",$B3="Meterkast",$B3="Bliksemafleiding",$B3="Leidingnetten"),"Bijzonder koper",IF($G3="","Handmatig beoordelen",IF($G3&gt;=4,"A-koper",IF($G3&gt;=3,"B-koper",IF($G3&gt;0,"C-koper","Handmatig beoordelen"))))),IF($A3="Bitumen",IF(OR($B3="Dakopbouw",$B3="Groendak",$B3="Opstanden",$B3="Kimmen",$B3="Aansluitdetails",$B3="Dakdetails"),"Bijzonder bitumen",IF($G3="","Handmatig beoordelen",IF($G3&gt;=4,"A-bitumen",IF($G3&gt;=3,"B-bitumen",IF($G3&gt;0,"C-bitumen","Handmatig beoordelen"))))),"Handmatig beoordelen")))))))</calculatedColumnFormula>
    </tableColumn>
    <tableColumn id="23" name="Tot. nieuw CO2 (kg)" dataDxfId="523">
      <calculatedColumnFormula>IFERROR(Tabel26[[#This Row],[BIM-volume m³]]*INDEX(Tabel113[CO2-nieuw (kg)],1)+Tabel26[[#This Row],[BIM-volume m³]]*INDEX(Tabel113[Transport-impact ],1)*IF(Tabel26[[#This Row],[Transportafstand (km)]]="",0,Tabel26[[#This Row],[Transportafstand (km)]]),0)</calculatedColumnFormula>
    </tableColumn>
    <tableColumn id="6" name="Tot. hergebruik CO2 (kg)" dataDxfId="522">
      <calculatedColumnFormula>IF(Tabel26[[#This Row],[Klasse]]="Totaal",SUM(M4:M12),IFERROR(Tabel26[[#This Row],[BIM-volume m³]]*INDEX(Tabel113[CO2-Hergebruik (kg)],1)+Tabel26[[#This Row],[BIM-volume m³]]*INDEX(Tabel113[Transport-impact ],1)*IF(Tabel26[[#This Row],[Transportafstand (km)]]="",0,Tabel26[[#This Row],[Transportafstand (km)]]),0))</calculatedColumnFormula>
    </tableColumn>
    <tableColumn id="5" name="Tot. recycling Co2 (kg)" dataDxfId="521">
      <calculatedColumnFormula>IFERROR(Tabel26[[#This Row],[BIM-volume m³]]*INDEX(Tabel113[CO2- recycle (kg)],1)+Tabel26[[#This Row],[BIM-volume m³]]*Tabel26[[#This Row],[Transport Impact]]*IF(Tabel26[[#This Row],[Transportafstand (km)]]="",0,Tabel26[[#This Row],[Transportafstand (km)]]),0)</calculatedColumnFormula>
    </tableColumn>
    <tableColumn id="4" name="Klimaatbespring kg Co2" dataDxfId="520">
      <calculatedColumnFormula>IF($B10="Totaal",SUM($O$4:$O$12),IFERROR(MAX(0,$M3-MIN($N3,$O3)),0))</calculatedColumnFormula>
    </tableColumn>
    <tableColumn id="12" name="Routeadvies 2" dataDxfId="519">
      <calculatedColumnFormula>IF(OR($M3="",$M3=0),"Geen beoordeling",IF(AND($N3=0,$O3=0),"Geen beoordeling",IF($N3&lt;$O3,"Hergebruik",IF($O3&lt;$N3,"Recycling","Hergebruik en recycling gelijk"))))</calculatedColumnFormula>
    </tableColumn>
    <tableColumn id="15" name="Verkoopbare volume m³" dataDxfId="518"/>
    <tableColumn id="24" name="Verkoopprijs per m³" dataDxfId="517">
      <calculatedColumnFormula>IFERROR(VLOOKUP(Tabel26[[#This Row],[Klasse]],Hout!$A$12:$D$15,4,FALSE),0)</calculatedColumnFormula>
    </tableColumn>
    <tableColumn id="25" name="Financiële marktwaarde excl. kosten" dataDxfId="516">
      <calculatedColumnFormula>R3*S3</calculatedColumnFormula>
    </tableColumn>
    <tableColumn id="26" name="Recovery hoog?" dataDxfId="515">
      <calculatedColumnFormula>IF(OR($L3="Handmatig beoordelen",$L3="",$L3="Totaal",$I3=""),"Handmatig",IF($I3&gt;=50%,"Ja","Nee"))</calculatedColumnFormula>
    </tableColumn>
    <tableColumn id="27" name="Klimaat positief?" dataDxfId="514">
      <calculatedColumnFormula>IF(OR($L3="Handmatig beoordelen",$L3="",$L3="Totaal"),"Handmatig",IF($P3&gt;0,"Ja","Nee"))</calculatedColumnFormula>
    </tableColumn>
    <tableColumn id="28" name="Financiele positief?" dataDxfId="513">
      <calculatedColumnFormula>IF(OR($L3="Handmatig beoordelen",$L3="",$L3="Totaal"),"Handmatig",IF($T3&gt;0,"Ja","Nee"))</calculatedColumnFormula>
    </tableColumn>
    <tableColumn id="29" name="Eindbeoordeling" dataDxfId="5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el2640" displayName="Tabel2640" ref="A14:X24" headerRowCount="1" totalsRowShown="0" headerRowDxfId="511" dataDxfId="509" headerRowBorderDxfId="510" tableBorderDxfId="508" totalsRowBorderDxfId="507">
  <autoFilter ref="A14:X24"/>
  <sortState ref="A15:X24">
    <sortCondition ref="A2:A12"/>
  </sortState>
  <tableColumns count="24">
    <tableColumn id="1" name="Materiaalstroom" dataDxfId="506" dataCellStyle="Standaard 3"/>
    <tableColumn id="2" name=" Bouwdeel uit BIM" dataDxfId="505" dataCellStyle="Standaard 3"/>
    <tableColumn id="3" name="BIM-volume m³" dataDxfId="504">
      <calculatedColumnFormula>'Staal-data'!B2</calculatedColumnFormula>
    </tableColumn>
    <tableColumn id="14" name="Transport Impact" dataDxfId="503"/>
    <tableColumn id="7" name="Transportafstand (km)" dataDxfId="502">
      <calculatedColumnFormula>SUM(E16:E24)</calculatedColumnFormula>
    </tableColumn>
    <tableColumn id="8" name="Demonteerbaarheid" dataDxfId="501"/>
    <tableColumn id="9" name="Materiaalconditie " dataDxfId="500"/>
    <tableColumn id="10" name="Marktpotentie " dataDxfId="499"/>
    <tableColumn id="13" name="PRR" dataDxfId="498">
      <calculatedColumnFormula>IFERROR(ROUND(AVERAGE(Tabel2640[[#This Row],[Demonteerbaarheid]],Tabel2640[[#This Row],[Materiaalconditie ]],Tabel2640[[#This Row],[Marktpotentie ]])/5,2),0)</calculatedColumnFormula>
    </tableColumn>
    <tableColumn id="16" name="Routeadvies" dataDxfId="497">
      <calculatedColumnFormula>IF(Tabel2640[[#This Row],[PRR]]="","Handmatig beoordelen",IF(Tabel2640[[#This Row],[PRR]]&gt;=0.75,"Hergebruik",IF(Tabel2640[[#This Row],[PRR]]&gt;=0.4,"Hergebruik &gt; recycling",IF(Tabel2640[[#This Row],[PRR]]&gt;=0.15,"Recycling","Handmatig beoordelen"))))</calculatedColumnFormula>
    </tableColumn>
    <tableColumn id="5" name="Grenswaarde" dataDxfId="496">
      <calculatedColumnFormula>IF(Tabel2640[[#This Row],[Routeadvies]]="Hergebruik","&gt;= 0,75",IF(Tabel2640[[#This Row],[Routeadvies]]="Hergebruik &gt; recycling","&gt;= 0,4 en &lt; 0,75",IF(Tabel2640[[#This Row],[Routeadvies]]="Recycling","&gt;= 0,15 en &lt; 0,4",IF(Tabel2640[[#This Row],[Routeadvies]]="Handmatig beoordelen","&lt; 0,15 of geen score",""))))</calculatedColumnFormula>
    </tableColumn>
    <tableColumn id="22" name="Klasse" dataDxfId="495">
      <calculatedColumnFormula>IF($B15="Totaal","Totaal",IF(OR($B15="deuren",$B15="Balken",$B15="Liggers",$B15="Buisstaalconstructies",$B15="Kozijnen",$B15="Trappen",$B15="Hekwerken",$B15="Leuningen",$B15="ramen"),"Bijzonder staal",IF($G15="","Handmatig beoordelen",IF($G15&gt;=4,"A-staal",IF($G15&gt;=2,"B-staal",IF($G15&gt;0,"C-staal","Handmatig beoordelen"))))))</calculatedColumnFormula>
    </tableColumn>
    <tableColumn id="6" name="Tot. nieuw CO2 (kg)" dataDxfId="494">
      <calculatedColumnFormula>IFERROR(Tabel2640[[#This Row],[BIM-volume m³]]*INDEX(Tabel17[CO2-nieuw (kg)],1)+Tabel2640[[#This Row],[BIM-volume m³]]*Tabel2640[[#This Row],[Transport Impact]]*IF(Tabel2640[[#This Row],[Transportafstand (km)]]="",0,Tabel2640[[#This Row],[Transportafstand (km)]]),0)</calculatedColumnFormula>
    </tableColumn>
    <tableColumn id="11" name="Tot. hergebruik CO2 (kg)" dataDxfId="493">
      <calculatedColumnFormula>IFERROR(Tabel2640[[#This Row],[BIM-volume m³]]*INDEX(Tabel17[CO2-Hergebruik (kg)],1)+Tabel2640[[#This Row],[BIM-volume m³]]*INDEX(Tabel17[Transport afstand (km)],1)*Tabel2640[[#This Row],[Transport Impact]],0)</calculatedColumnFormula>
    </tableColumn>
    <tableColumn id="12" name="Tot. recycling Co2 (kg)" dataDxfId="492">
      <calculatedColumnFormula>IFERROR(Tabel2640[[#This Row],[BIM-volume m³]]*Staal!$O$3+Tabel2640[[#This Row],[BIM-volume m³]]*Tabel2640[[#This Row],[Transport Impact]]*IF(Tabel2640[[#This Row],[Transportafstand (km)]]="",0,Tabel2640[[#This Row],[Transportafstand (km)]]),0)</calculatedColumnFormula>
    </tableColumn>
    <tableColumn id="23" name="Klimaatbesparing kg CO₂" dataDxfId="491">
      <calculatedColumnFormula>IF($B22="Totaal",SUM($P$16:$P$24),IFERROR(MAX(0,$M14-MIN($N15,#REF!)),0))</calculatedColumnFormula>
    </tableColumn>
    <tableColumn id="4" name="Routeadvies 2" dataDxfId="490">
      <calculatedColumnFormula>IF(OR($M14="",$M14=0),"Geen beoordeling",IF(AND($N15=0,$O15=0),"Geen beoordeling",IF($N15&lt;$O15,"Hergebruik",IF($O15&lt;$N15,"Recycling","Hergebruik en recycling gelijk"))))</calculatedColumnFormula>
    </tableColumn>
    <tableColumn id="15" name="Praktisch terugwinbaar volume m³" dataDxfId="489"/>
    <tableColumn id="24" name="Verkoopprijs per m³" dataDxfId="488">
      <calculatedColumnFormula>IFERROR(VLOOKUP(Tabel2640[[#This Row],[Klasse]],Staal!$A$12:$D$15,4,FALSE),0)</calculatedColumnFormula>
    </tableColumn>
    <tableColumn id="25" name="Financiële marktwaarde excl. kosten" dataDxfId="487">
      <calculatedColumnFormula>Tabel2640[[#This Row],[Praktisch terugwinbaar volume m³]]*Tabel2640[[#This Row],[Verkoopprijs per m³]]</calculatedColumnFormula>
    </tableColumn>
    <tableColumn id="26" name="Recovery hoog?" dataDxfId="486">
      <calculatedColumnFormula>IF(OR($L15="Handmatig beoordelen",$L15="",$L15="Totaal",$I15=""),"Handmatig",IF($I15&gt;=50%,"Ja","Nee"))</calculatedColumnFormula>
    </tableColumn>
    <tableColumn id="27" name="Klimaat positief?" dataDxfId="485">
      <calculatedColumnFormula>IF(OR($L15="Handmatig beoordelen",$L15="",$L15="Totaal",$Q15=""),"Handmatig",IF(OR($Q15="Hergebruik",$Q15="Recycling",$Q15="Hergebruik en recycling",$Q15="Hergebruik en recycling gelijk"),"Ja","Nee"))</calculatedColumnFormula>
    </tableColumn>
    <tableColumn id="28" name="Financiele positief?" dataDxfId="484">
      <calculatedColumnFormula>IF(OR($L15="Handmatig beoordelen",$L15="",$L15="Totaal"),"Handmatig",IF($T15&gt;0,"Ja","Nee"))</calculatedColumnFormula>
    </tableColumn>
    <tableColumn id="29" name="Eindbeoordeling" dataDxfId="483">
      <calculatedColumnFormula>IF(OR($U15="Handmatig",$V15="Handmatig",$W15="Handmatig"),"Handmatig beoordelen",IF(COUNTIF($U15:$W15,"Ja")&gt;=2,"Interessant",IF(COUNTIF($U15:$W15,"Ja")=1,"Eigen beoordeling","Niet interessant")))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el264041" displayName="Tabel264041" ref="A26:X36" headerRowCount="1" totalsRowShown="0" headerRowDxfId="482" dataDxfId="480" headerRowBorderDxfId="481" tableBorderDxfId="479" totalsRowBorderDxfId="478">
  <autoFilter ref="A26:X36"/>
  <sortState ref="A27:X36">
    <sortCondition ref="A2:A12"/>
  </sortState>
  <tableColumns count="24">
    <tableColumn id="1" name="Materiaalstroom" dataDxfId="477" dataCellStyle="Standaard 3"/>
    <tableColumn id="2" name=" Bouwdeel uit BIM" dataDxfId="476" dataCellStyle="Standaard 3"/>
    <tableColumn id="3" name="BIM-volume m³" dataDxfId="475">
      <calculatedColumnFormula>'Beton-data'!B2</calculatedColumnFormula>
    </tableColumn>
    <tableColumn id="4" name="Transport Impact" dataDxfId="474"/>
    <tableColumn id="7" name="Transportafstand (km)" dataDxfId="473"/>
    <tableColumn id="8" name="Demonteerbaarheid" dataDxfId="472"/>
    <tableColumn id="9" name="Materiaalconditie " dataDxfId="471"/>
    <tableColumn id="10" name="Marktpotentie " dataDxfId="470"/>
    <tableColumn id="13" name="PRR" dataDxfId="469">
      <calculatedColumnFormula>IFERROR(ROUND(AVERAGE(Tabel264041[[#This Row],[Demonteerbaarheid]],Tabel264041[[#This Row],[Materiaalconditie ]],Tabel264041[[#This Row],[Marktpotentie ]])/5,2),0)</calculatedColumnFormula>
    </tableColumn>
    <tableColumn id="16" name="Routeadvies" dataDxfId="468">
      <calculatedColumnFormula>IF(Tabel264041[[#This Row],[PRR]]="","Handmatig beoordelen",IF(Tabel264041[[#This Row],[PRR]]&gt;=0.9,"Hergebruik",IF(Tabel264041[[#This Row],[PRR]]&gt;=0.7,"Hergebruik &gt; recycling",IF(Tabel264041[[#This Row],[PRR]]&gt;=0.35,"Recycling","Handmatig beoordelen"))))</calculatedColumnFormula>
    </tableColumn>
    <tableColumn id="14" name="Grenswaarde" dataDxfId="467">
      <calculatedColumnFormula>IF(Tabel264041[[#This Row],[Routeadvies]]="Hergebruik","&gt;= 0,9",IF(Tabel264041[[#This Row],[Routeadvies]]="Hergebruik &gt; recycling","&gt;= 0,7 en &lt; 0,9",IF(Tabel264041[[#This Row],[Routeadvies]]="Recycling","&gt;= 0,35 en &lt; 0,7",IF(Tabel264041[[#This Row],[Routeadvies]]="Handmatig beoordelen","&lt; 0,35",""))))</calculatedColumnFormula>
    </tableColumn>
    <tableColumn id="22" name="Klasse" dataDxfId="466">
      <calculatedColumnFormula>IF($B27="Totaal","Totaal",IF(OR($B27="Funderingen",$B27="Heipalen",$B27="Prefab elementen",$B27="Kanaalplaatvloeren",$B27="Breedplaatvloeren",$B27="Trappen",$B27="Gevelpanelen",$B27="ramen"),"Bijzonder beton",IF($G27="","Handmatig beoordelen",IF($G27&gt;=4,"A-beton",IF($G27&gt;=3,"B-beton",IF($G27&gt;0,"C-beton","Handmatig beoordelen"))))))</calculatedColumnFormula>
    </tableColumn>
    <tableColumn id="11" name="Tot. nieuw CO2 (kg)" dataDxfId="465">
      <calculatedColumnFormula>Tabel15[[#This Row],[Volume (m3)]]*Tabel15[[#This Row],[CO2-nieuw (kg)]]+Tabel15[[#This Row],[Volume (m3)]]*Tabel15[[#This Row],[Transport afstand (km)]]*Tabel15[[#This Row],[Transport-impact ]]</calculatedColumnFormula>
    </tableColumn>
    <tableColumn id="6" name="Tot. hergebruik CO2 (kg)" dataDxfId="464">
      <calculatedColumnFormula>IFERROR(Tabel264041[[#This Row],[BIM-volume m³]]*Beton!$N$3+Tabel264041[[#This Row],[BIM-volume m³]]*Tabel264041[[#This Row],[Transport Impact]]*IF(Tabel264041[[#This Row],[Transportafstand (km)]]="",0,Tabel264041[[#This Row],[Transportafstand (km)]]),0)</calculatedColumnFormula>
    </tableColumn>
    <tableColumn id="5" name="Tot. recycling Co2 (kg)" dataDxfId="463"/>
    <tableColumn id="23" name="Klimaatbesparing kg CO₂" dataDxfId="462">
      <calculatedColumnFormula>IFERROR(MAX(0,Tabel264041[[#This Row],[Tot. nieuw CO2 (kg)]]-MIN(IF(Tabel264041[[#This Row],[Tot. hergebruik CO2 (kg)]]=0,999999,Tabel264041[[#This Row],[Tot. hergebruik CO2 (kg)]]),IF(Tabel264041[[#This Row],[Tot. recycling Co2 (kg)]]=0,999999,Tabel264041[[#This Row],[Tot. recycling Co2 (kg)]]))),0)</calculatedColumnFormula>
    </tableColumn>
    <tableColumn id="12" name="Routeadvies 2" dataDxfId="461">
      <calculatedColumnFormula>IF(OR($M27="",$M27=0),"Geen beoordeling",IF(AND($N27=0,$O27=0),"Geen beoordeling",IF($N27&lt;$O27,"Hergebruik",IF($O27&lt;$N27,"Recycling","Hergebruik en recycling gelijk"))))</calculatedColumnFormula>
    </tableColumn>
    <tableColumn id="15" name="Praktisch terugwinbaar volume m³" dataDxfId="460">
      <calculatedColumnFormula>IFERROR(Tabel264041[[#This Row],[BIM-volume m³]]*Tabel264041[[#This Row],[PRR]],0)</calculatedColumnFormula>
    </tableColumn>
    <tableColumn id="24" name="Verkoopprijs per m³" dataDxfId="459">
      <calculatedColumnFormula>IFERROR(VLOOKUP(Tabel264041[[#This Row],[Klasse]],Beton!$A$10:$D$13,4,FALSE),0)</calculatedColumnFormula>
    </tableColumn>
    <tableColumn id="25" name="Financiële marktwaarde excl. kosten" dataDxfId="458">
      <calculatedColumnFormula>+Tabel264041[[#This Row],[Praktisch terugwinbaar volume m³]]*Tabel264041[[#This Row],[Verkoopprijs per m³]]</calculatedColumnFormula>
    </tableColumn>
    <tableColumn id="26" name="Recovery hoog?" dataDxfId="457">
      <calculatedColumnFormula>IF(OR($L27="Handmatig beoordelen",$L27="",$L27="Totaal",$I27=""),"Handmatig",IF($I27&gt;=50%,"Ja","Nee"))</calculatedColumnFormula>
    </tableColumn>
    <tableColumn id="27" name="Klimaat positief?" dataDxfId="456">
      <calculatedColumnFormula>IF(OR($L27="Handmatig beoordelen",$L27="",$L27="Totaal",$Q27=""),"Handmatig",IF(OR($Q27="Hergebruik",$Q27="Recycling",$Q27="Hergebruik en recycling",$Q27="Hergebruik en recycling gelijk"),"Ja","Nee"))</calculatedColumnFormula>
    </tableColumn>
    <tableColumn id="28" name="Financiele positief?" dataDxfId="455">
      <calculatedColumnFormula>IF(OR($L27="Handmatig beoordelen",$L27="",$L27="Totaal"),"Handmatig",IF($T27&gt;0,"Ja","Nee"))</calculatedColumnFormula>
    </tableColumn>
    <tableColumn id="29" name="Eindbeoordeling" dataDxfId="454">
      <calculatedColumnFormula>IF(OR($U27="Handmatig",$V27="Handmatig",$W27="Handmatig"),"Handmatig beoordelen",IF(COUNTIF($U27:$W27,"Ja")&gt;=2,"Interessant",IF(COUNTIF($U27:$W27,"Ja")=1,"Eigen beoordeling","Niet interessant")))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el26404142" displayName="Tabel26404142" ref="A50:X60" headerRowCount="1" totalsRowShown="0" headerRowDxfId="453" dataDxfId="451" headerRowBorderDxfId="452" tableBorderDxfId="450" totalsRowBorderDxfId="449">
  <autoFilter ref="A50:X60"/>
  <sortState ref="A51:X60">
    <sortCondition ref="A14:A24"/>
  </sortState>
  <tableColumns count="24">
    <tableColumn id="1" name="Materiaalstroom" dataDxfId="448" dataCellStyle="Standaard 3"/>
    <tableColumn id="2" name=" Bouwdeel uit BIM" dataDxfId="447" dataCellStyle="Standaard 3"/>
    <tableColumn id="3" name="BIM-volume m³" dataDxfId="446">
      <calculatedColumnFormula>'Koper-data'!B2</calculatedColumnFormula>
    </tableColumn>
    <tableColumn id="4" name="Transport Impact" dataDxfId="445"/>
    <tableColumn id="7" name="Transportafstand (km)" dataDxfId="444"/>
    <tableColumn id="8" name="Demonteerbaarheid" dataDxfId="443"/>
    <tableColumn id="9" name="Materiaalconditie " dataDxfId="442"/>
    <tableColumn id="10" name="Marktpotentie " dataDxfId="441"/>
    <tableColumn id="13" name="PRR" dataDxfId="440">
      <calculatedColumnFormula>IFERROR(ROUND(AVERAGE(Tabel26404142[[#This Row],[Demonteerbaarheid]],Tabel26404142[[#This Row],[Materiaalconditie ]],Tabel26404142[[#This Row],[Marktpotentie ]])/5,2),0)</calculatedColumnFormula>
    </tableColumn>
    <tableColumn id="16" name="Routeadvies" dataDxfId="439">
      <calculatedColumnFormula>IF(Tabel26404142[[#This Row],[PRR]]="","Handmatig beoordelen",IF(Tabel26404142[[#This Row],[PRR]]&gt;=0.7,"Hergebruik &gt; recycling",IF(Tabel26404142[[#This Row],[PRR]]&gt;=0.25,"Recycling","Handmatig beoordelen")))</calculatedColumnFormula>
    </tableColumn>
    <tableColumn id="14" name="Grenswaarde" dataDxfId="438">
      <calculatedColumnFormula>IF(Tabel26404142[[#This Row],[Routeadvies]]="Hergebruik","Niet standaard toegepast",IF(Tabel26404142[[#This Row],[Routeadvies]]="Hergebruik &gt; recycling","&gt;= 0,7",IF(Tabel26404142[[#This Row],[Routeadvies]]="Recycling","&gt;= 0,25 en &lt; 0,7",IF(Tabel26404142[[#This Row],[Routeadvies]]="Handmatig beoordelen","&lt; 0,25 of geen score",""))))</calculatedColumnFormula>
    </tableColumn>
    <tableColumn id="22" name="Klasse" dataDxfId="437">
      <calculatedColumnFormula>IF($B51="Totaal","Totaal",IF(OR($B51="Installaties",$B51="Technische ruimte",$B51="Verdeelkast",$B51="Meterkast",$B51="Bliksemafleiding",$B51="Leidingnetten"),"Bijzonder koper",IF($G51="","Handmatig beoordelen",IF($G51&gt;=4,"Rood koper",IF($G51&gt;=3,"Knip koper",IF($G51&gt;0,"Geel koper / Messing","Kabels inclusief isolatie"))))))</calculatedColumnFormula>
    </tableColumn>
    <tableColumn id="11" name="Tot. nieuw CO2 (kg)" dataDxfId="436">
      <calculatedColumnFormula>IFERROR(Tabel26404142[[#This Row],[BIM-volume m³]]*Koper!$N$3+Tabel26404142[[#This Row],[BIM-volume m³]]*Tabel26404142[[#This Row],[Transport Impact]]*IF(Tabel26404142[[#This Row],[Transportafstand (km)]]="",0,Tabel26404142[[#This Row],[Transportafstand (km)]]),0)</calculatedColumnFormula>
    </tableColumn>
    <tableColumn id="6" name="Tot. hergebruik CO2 (kg)" dataDxfId="435">
      <calculatedColumnFormula>IFERROR(Tabel26404142[[#This Row],[BIM-volume m³]]*Koper!$O$3+Tabel26404142[[#This Row],[BIM-volume m³]]*Tabel26404142[[#This Row],[Transport Impact]]*IF(Tabel26404142[[#This Row],[Transportafstand (km)]]="",0,Tabel26404142[[#This Row],[Transportafstand (km)]]),0)</calculatedColumnFormula>
    </tableColumn>
    <tableColumn id="5" name="Tot. recycling Co2 (kg)" dataDxfId="434">
      <calculatedColumnFormula>IFERROR(Tabel26404142[[#This Row],[BIM-volume m³]]*Koper!$P$3+Tabel26404142[[#This Row],[BIM-volume m³]]*Tabel26404142[[#This Row],[Transport Impact]]*IF(Tabel26404142[[#This Row],[Transportafstand (km)]]="",0,Tabel26404142[[#This Row],[Transportafstand (km)]]),0)</calculatedColumnFormula>
    </tableColumn>
    <tableColumn id="23" name="Klimaatbesparing kg CO₂" dataDxfId="433"/>
    <tableColumn id="12" name="Routeadvies 2" dataDxfId="432">
      <calculatedColumnFormula>IF(OR($M51="",$M51=0),"Geen beoordeling",IF(AND($N51=0,$O51=0),"Geen beoordeling",IF($N51&lt;$O51,"Hergebruik",IF($O51&lt;$N51,"Recycling","Hergebruik en recycling gelijk"))))</calculatedColumnFormula>
    </tableColumn>
    <tableColumn id="15" name="Praktisch terugwinbaar volume m³" dataDxfId="431">
      <calculatedColumnFormula>IFERROR(Tabel26404142[[#This Row],[BIM-volume m³]]*Tabel26404142[[#This Row],[PRR]],0)</calculatedColumnFormula>
    </tableColumn>
    <tableColumn id="24" name="Verkoopprijs per m³" dataDxfId="430"/>
    <tableColumn id="25" name="Financiële marktwaarde excl. kosten" dataDxfId="429">
      <calculatedColumnFormula>Tabel26404142[[#This Row],[Praktisch terugwinbaar volume m³]]*Tabel26404142[[#This Row],[Verkoopprijs per m³]]</calculatedColumnFormula>
    </tableColumn>
    <tableColumn id="26" name="Recovery hoog?" dataDxfId="428">
      <calculatedColumnFormula>IF(OR($L51="Handmatig beoordelen",$L51="",$L51="Totaal",$I51=""),"Handmatig",IF($I51&gt;=50%,"Ja","Nee"))</calculatedColumnFormula>
    </tableColumn>
    <tableColumn id="27" name="Klimaat positief?" dataDxfId="427">
      <calculatedColumnFormula>IF(OR($L51="Handmatig beoordelen",$L51="",$L51="Totaal",$Q51=""),"Handmatig",IF(OR($Q51="Hergebruik",$Q51="Recycling",$Q51="Hergebruik en recycling",$Q51="Hergebruik en recycling gelijk"),"Ja","Nee"))</calculatedColumnFormula>
    </tableColumn>
    <tableColumn id="28" name="Financiele positief?" dataDxfId="426">
      <calculatedColumnFormula>IF(OR($L51="Handmatig beoordelen",$L51="",$L51="Totaal"),"Handmatig",IF($T51&gt;0,"Ja","Nee"))</calculatedColumnFormula>
    </tableColumn>
    <tableColumn id="29" name="Eindbeoordeling" dataDxfId="425">
      <calculatedColumnFormula>IF(OR($U51="Handmatig",$V51="Handmatig",$W51="Handmatig"),"Handmatig beoordelen",IF(COUNTIF($U51:$W51,"Ja")&gt;=2,"Interessant",IF(COUNTIF($U51:$W51,"Ja")=1,"Eigen beoordeling","Niet interessant")))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abel26404139" displayName="Tabel26404139" ref="A38:X48" headerRowCount="1" totalsRowShown="0" headerRowDxfId="424" dataDxfId="422" headerRowBorderDxfId="423" tableBorderDxfId="421" totalsRowBorderDxfId="420">
  <autoFilter ref="A38:X48"/>
  <sortState ref="A39:X48">
    <sortCondition ref="A2:A12"/>
  </sortState>
  <tableColumns count="24">
    <tableColumn id="1" name="Materiaalstroom" dataDxfId="419" dataCellStyle="Standaard 3"/>
    <tableColumn id="2" name=" Bouwdeel uit BIM" dataDxfId="418" dataCellStyle="Standaard 3"/>
    <tableColumn id="3" name="BIM-volume m³" dataDxfId="417">
      <calculatedColumnFormula>'Aluminium-data'!B2</calculatedColumnFormula>
    </tableColumn>
    <tableColumn id="4" name="Transport Impact" dataDxfId="416"/>
    <tableColumn id="7" name="Transportafstand (km)" dataDxfId="415"/>
    <tableColumn id="8" name="Demonteerbaarheid" dataDxfId="414"/>
    <tableColumn id="9" name="Materiaalconditie " dataDxfId="413"/>
    <tableColumn id="10" name="Marktpotentie " dataDxfId="412"/>
    <tableColumn id="13" name="PRR" dataDxfId="411">
      <calculatedColumnFormula>IFERROR(ROUND(AVERAGE(Tabel26404139[[#This Row],[Demonteerbaarheid]],Tabel26404139[[#This Row],[Materiaalconditie ]],Tabel26404139[[#This Row],[Marktpotentie ]])/5,2),0)</calculatedColumnFormula>
    </tableColumn>
    <tableColumn id="16" name="Routeadvies" dataDxfId="410">
      <calculatedColumnFormula>IF(Tabel26404139[[#This Row],[PRR]]="","Handmatig beoordelen",IF(Tabel26404139[[#This Row],[PRR]]&gt;=0.7,"Hergebruik &gt; recycling",IF(Tabel26404139[[#This Row],[PRR]]&gt;=0.25,"Recycling","Handmatig beoordelen")))</calculatedColumnFormula>
    </tableColumn>
    <tableColumn id="14" name="Grenswaarde" dataDxfId="409">
      <calculatedColumnFormula>IF(Tabel26404139[[#This Row],[Routeadvies]]="Hergebruik","Niet standaard toegepast",IF(Tabel26404139[[#This Row],[Routeadvies]]="Hergebruik &gt; recycling","&gt;= 0,7",IF(Tabel26404139[[#This Row],[Routeadvies]]="Recycling","&gt;= 0,25 en &lt; 0,7",IF(Tabel26404139[[#This Row],[Routeadvies]]="Handmatig beoordelen","&lt; 0,25 of geen score",""))))</calculatedColumnFormula>
    </tableColumn>
    <tableColumn id="22" name="Klasse" dataDxfId="408">
      <calculatedColumnFormula>IF($B39="Totaal","Totaal",IF(OR($B39="Ramen",$B39="Deuren",$B39="Kozijnen",$B39="Vliesgevels",$B39="Gevelsystemen",$B39="Zonwering",$B39="Trappen"),"Bijzonder aluminium",IF($G39="","Handmatig beoordelen",IF($G39&gt;=4,"A-aluminium",IF($G39&gt;=3,"B-aluminium",IF($G39&gt;0,"C-aluminium","Handmatig beoordelen"))))))</calculatedColumnFormula>
    </tableColumn>
    <tableColumn id="11" name="Tot. nieuw CO2 (kg)" dataDxfId="407">
      <calculatedColumnFormula>IFERROR(Tabel26404139[[#This Row],[BIM-volume m³]]*Aluminium!$M$3+Tabel26404139[[#This Row],[BIM-volume m³]]*Tabel26404139[[#This Row],[Transport Impact]]*IF(Tabel26404139[[#This Row],[Transportafstand (km)]]="",0,Tabel26404139[[#This Row],[Transportafstand (km)]]),0)</calculatedColumnFormula>
    </tableColumn>
    <tableColumn id="6" name="Tot. hergebruik CO2 (kg)" dataDxfId="406">
      <calculatedColumnFormula>IFERROR(Tabel26404139[[#This Row],[BIM-volume m³]]*Aluminium!$N$3+Tabel26404139[[#This Row],[BIM-volume m³]]*Tabel26404139[[#This Row],[Transport Impact]]*IF(Tabel26404139[[#This Row],[Transportafstand (km)]]="",0,Tabel26404139[[#This Row],[Transportafstand (km)]]),0)</calculatedColumnFormula>
    </tableColumn>
    <tableColumn id="5" name="Tot. recycling Co2 (kg)" dataDxfId="405">
      <calculatedColumnFormula>IFERROR(Tabel26404139[[#This Row],[BIM-volume m³]]*Aluminium!$O$3+Tabel26404139[[#This Row],[BIM-volume m³]]*Tabel26404139[[#This Row],[Transport Impact]]*IF(Tabel26404139[[#This Row],[Transportafstand (km)]]="",0,Tabel26404139[[#This Row],[Transportafstand (km)]]),0)</calculatedColumnFormula>
    </tableColumn>
    <tableColumn id="23" name="Klimaatbesparing kg CO₂" dataDxfId="404"/>
    <tableColumn id="12" name="Routeadvies 2" dataDxfId="403">
      <calculatedColumnFormula>IF(OR($M39="",$M39=0),"Geen beoordeling",IF(AND($N39=0,$O39=0),"Geen beoordeling",IF($N39&lt;$O39,"Hergebruik",IF($O39&lt;$N39,"Recycling","Hergebruik en recycling gelijk"))))</calculatedColumnFormula>
    </tableColumn>
    <tableColumn id="15" name="Praktisch terugwinbaar volume m³" dataDxfId="402">
      <calculatedColumnFormula>IFERROR(Tabel26404139[[#This Row],[BIM-volume m³]]*Tabel26404139[[#This Row],[PRR]],0)</calculatedColumnFormula>
    </tableColumn>
    <tableColumn id="24" name="Verkoopprijs per m³" dataDxfId="401">
      <calculatedColumnFormula>IFERROR(VLOOKUP(Tabel26404139[[#This Row],[Klasse]],Aluminium!$A$11:$D$14,4,FALSE),0)</calculatedColumnFormula>
    </tableColumn>
    <tableColumn id="25" name="Financiële marktwaarde excl. kosten" dataDxfId="400">
      <calculatedColumnFormula>Tabel26404139[[#This Row],[Praktisch terugwinbaar volume m³]]*Tabel26404139[[#This Row],[Verkoopprijs per m³]]</calculatedColumnFormula>
    </tableColumn>
    <tableColumn id="26" name="Recovery hoog?" dataDxfId="399">
      <calculatedColumnFormula>IF(OR($L39="Handmatig beoordelen",$L39="",$L39="Totaal",$I39=""),"Handmatig",IF($I39&gt;=50%,"Ja","Nee"))</calculatedColumnFormula>
    </tableColumn>
    <tableColumn id="27" name="Klimaat positief?" dataDxfId="398">
      <calculatedColumnFormula>IF(OR($L39="Handmatig beoordelen",$L39="",$L39="Totaal",$Q39=""),"Handmatig",IF(OR($Q39="Hergebruik",$Q39="Recycling",$Q39="Hergebruik en recycling",$Q39="Hergebruik en recycling gelijk"),"Ja","Nee"))</calculatedColumnFormula>
    </tableColumn>
    <tableColumn id="28" name="Financiele positief?" dataDxfId="397">
      <calculatedColumnFormula>IF(OR($L39="Handmatig beoordelen",$L39="",$L39="Totaal"),"Handmatig",IF($T39&gt;0,"Ja","Nee"))</calculatedColumnFormula>
    </tableColumn>
    <tableColumn id="29" name="Eindbeoordeling" dataDxfId="396">
      <calculatedColumnFormula>IF(OR($U39="Handmatig",$V39="Handmatig",$W39="Handmatig"),"Handmatig beoordelen",IF(COUNTIF($U39:$W39,"Ja")&gt;=2,"Interessant",IF(COUNTIF($U39:$W39,"Ja")=1,"Eigen beoordeling","Niet interessant")))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abel113" displayName="Tabel113" ref="A2:Y8" headerRowCount="1" headerRowDxfId="379" dataDxfId="377" totalsRowDxfId="375" headerRowBorderDxfId="378" tableBorderDxfId="376">
  <autoFilter ref="A2:Y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Materiaal-ID" dataDxfId="374"/>
    <tableColumn id="36" name="Element" dataDxfId="373"/>
    <tableColumn id="6" name="Materiaalcategorie" dataDxfId="372"/>
    <tableColumn id="7" name="Volume (m3)" dataDxfId="371"/>
    <tableColumn id="11" name="Demonteerbaarheid" dataDxfId="370"/>
    <tableColumn id="12" name="Materiaalconditie " dataDxfId="369"/>
    <tableColumn id="14" name="Marktpotentie " dataDxfId="368"/>
    <tableColumn id="16" name="Gem. score" dataDxfId="367"/>
    <tableColumn id="18" name="Geschatte recovery rate (%)" dataDxfId="366">
      <calculatedColumnFormula>IFERROR(ROUND(Tabel113[[#This Row],[Gem. score]]/5,2),0)</calculatedColumnFormula>
    </tableColumn>
    <tableColumn id="2" name="Hout klasse" dataDxfId="365"/>
    <tableColumn id="19" name="Routeadvies" dataDxfId="364">
      <calculatedColumnFormula>IF(J3="A-hout","Hergebruik",IF(J3="C-hout","Recycling",IF(H3&gt;=4,"Hergebruik","Recycling")))</calculatedColumnFormula>
    </tableColumn>
    <tableColumn id="20" name="Hoog-/laagwaardig" dataDxfId="363">
      <calculatedColumnFormula>IF(I3&gt;=75%,"Hoogwaardig","Laagwaardig")</calculatedColumnFormula>
    </tableColumn>
    <tableColumn id="5" name="CO2-nieuw (kg)" dataDxfId="362"/>
    <tableColumn id="27" name="CO2-Hergebruik (kg)" dataDxfId="361"/>
    <tableColumn id="28" name="CO2- recycle (kg)" dataDxfId="360"/>
    <tableColumn id="29" name="Transport-impact " dataDxfId="359"/>
    <tableColumn id="30" name="Transport afstand (km)" dataDxfId="358"/>
    <tableColumn id="17" name="Totale CO2 nieuw (kg)" dataDxfId="357">
      <calculatedColumnFormula>Tabel113[[#This Row],[Volume (m3)]]*Tabel113[[#This Row],[CO2-nieuw (kg)]]+Tabel113[[#This Row],[Volume (m3)]]*Tabel113[[#This Row],[Transport-impact ]]*Tabel113[[#This Row],[Transport afstand (km)]]</calculatedColumnFormula>
    </tableColumn>
    <tableColumn id="31" name="Totale CO2 hergebruik" dataDxfId="356">
      <calculatedColumnFormula>Tabel113[[#This Row],[Volume (m3)]]*Tabel113[[#This Row],[CO2-Hergebruik (kg)]]+Tabel113[[#This Row],[Volume (m3)]]*Tabel113[[#This Row],[Transport-impact ]]*Tabel113[[#This Row],[Transport afstand (km)]]</calculatedColumnFormula>
    </tableColumn>
    <tableColumn id="32" name="Totale Co2 recycling" dataDxfId="355">
      <calculatedColumnFormula>Tabel113[[#This Row],[Volume (m3)]]*Tabel113[[#This Row],[CO2- recycle (kg)]]+Tabel113[[#This Row],[Volume (m3)]]*Tabel113[[#This Row],[Transport-impact ]]*Tabel113[[#This Row],[Transport afstand (km)]]</calculatedColumnFormula>
    </tableColumn>
    <tableColumn id="33" name="Klimaatbesparing (kg co2)" dataDxfId="354">
      <calculatedColumnFormula>IF(V3="hergebruik",R3-S3,IF(V3="recycling",T3-S3,""))</calculatedColumnFormula>
    </tableColumn>
    <tableColumn id="34" name="Laagste uitstoot" dataDxfId="353">
      <calculatedColumnFormula>IF(S3=MIN(R3:T3),"Hergebruik",IF(T3=MIN(R3:T3),"Recycling","Nieuw"))</calculatedColumnFormula>
    </tableColumn>
    <tableColumn id="21" name="Verkoopbaar volume (m3)" dataDxfId="352">
      <calculatedColumnFormula>Tabel113[[#This Row],[Volume (m3)]]*Tabel113[[#This Row],[Geschatte recovery rate (%)]]</calculatedColumnFormula>
    </tableColumn>
    <tableColumn id="22" name="Verkoopprijs aan retailer per m³" dataDxfId="351">
      <calculatedColumnFormula>IFERROR(VLOOKUP(#REF!,Hout!$A$12:$D$15,4,FALSE),0)</calculatedColumnFormula>
    </tableColumn>
    <tableColumn id="23" name="Financiële marktwaarde excl. kosten" dataDxfId="350">
      <calculatedColumnFormula>Tabel113[[#This Row],[Verkoopbaar volume (m3)]]*Tabel113[[#This Row],[Verkoopprijs aan retailer per m³]]</calculatedColumnFormula>
    </tableColumn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id="11" name="Tabel1" displayName="Tabel1" ref="A11:D15" headerRowCount="1" totalsRowShown="0" headerRowDxfId="349" dataDxfId="348">
  <autoFilter ref="A11:D15"/>
  <tableColumns count="4">
    <tableColumn id="1" name="Houtklasse" dataDxfId="347"/>
    <tableColumn id="2" name="Retail hergebruikprijs per m³" dataDxfId="346"/>
    <tableColumn id="3" name="Retailer-inkoopfactor" dataDxfId="345"/>
    <tableColumn id="4" name="Verkoopprijs aan retailer per m³" dataDxfId="344">
      <calculatedColumnFormula>Tabel1[[#This Row],[Retailer-inkoopfactor]]*Tabel1[[#This Row],[Retail hergebruikprijs per m³]]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id="12" name="Tabel32" displayName="Tabel32" ref="A1:D5" headerRowCount="1" totalsRowShown="0" headerRowDxfId="343" dataDxfId="342">
  <autoFilter ref="A1:D5">
    <filterColumn colId="0" hiddenButton="1"/>
    <filterColumn colId="1" hiddenButton="1"/>
    <filterColumn colId="2" hiddenButton="1"/>
    <filterColumn colId="3" hiddenButton="1"/>
  </autoFilter>
  <tableColumns count="4">
    <tableColumn id="1" name="Categorie" dataDxfId="341"/>
    <tableColumn id="2" name="Betekenis" dataDxfId="340"/>
    <tableColumn id="3" name="Hoe beoordelen?" dataDxfId="339"/>
    <tableColumn id="4" name="Voorbeelden" dataDxfId="3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id="13" name="Tabel40" displayName="Tabel40" ref="F1:J5" headerRowCount="1" totalsRowShown="0" headerRowDxfId="337" dataDxfId="336">
  <autoFilter ref="F1:J5"/>
  <tableColumns count="5">
    <tableColumn id="1" name="Categorie" dataDxfId="335"/>
    <tableColumn id="2" name="Definitie" dataDxfId="334"/>
    <tableColumn id="3" name="Voorbeelden in gebouwen " dataDxfId="333"/>
    <tableColumn id="4" name="Bouwdelen" dataDxfId="332"/>
    <tableColumn id="5" name="Typische gebouwtypen" dataDxfId="33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abel9" displayName="Tabel9" ref="A7:C11" headerRowCount="1" totalsRowShown="0">
  <autoFilter ref="A7:C11"/>
  <tableColumns count="3">
    <tableColumn id="1" name="Hout PRR" dataDxfId="330"/>
    <tableColumn id="2" name="Routeadvies" dataDxfId="329"/>
    <tableColumn id="3" name="Onderbouwing" dataDxfId="328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id="15" name="Tabel10" displayName="Tabel10" ref="A1:B11" headerRowCount="1" totalsRowShown="0" headerRowDxfId="327" dataDxfId="326">
  <autoFilter ref="A1:B11"/>
  <tableColumns count="2">
    <tableColumn id="1" name="Herkomst" dataDxfId="325"/>
    <tableColumn id="2" name="Volume (m³)" dataDxfId="324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id="16" name="Tabel17" displayName="Tabel17" ref="A2:Y7" headerRowCount="1" headerRowDxfId="323" dataDxfId="321" totalsRowDxfId="319" headerRowBorderDxfId="322" tableBorderDxfId="320">
  <autoFilter ref="A2:Y7"/>
  <tableColumns count="25">
    <tableColumn id="1" name="Materiaal-ID" dataDxfId="318"/>
    <tableColumn id="35" name="Element" dataDxfId="317"/>
    <tableColumn id="6" name="Materiaalcategorie" dataDxfId="316"/>
    <tableColumn id="7" name="Volume (m3)" dataDxfId="315"/>
    <tableColumn id="11" name="l" dataDxfId="314"/>
    <tableColumn id="12" name="Materiaalconditie " dataDxfId="313"/>
    <tableColumn id="14" name="Marktpotentie " dataDxfId="312"/>
    <tableColumn id="16" name="Gem. score" dataDxfId="311"/>
    <tableColumn id="18" name="Geschatte recovery rate (%)" dataDxfId="310"/>
    <tableColumn id="10" name="Klasse" dataDxfId="309">
      <calculatedColumnFormula>IF(F2="","",IF(F2&gt;=4,"A-Staal",IF(F2&gt;=2.75,"B-Staal","C-Staal")))</calculatedColumnFormula>
    </tableColumn>
    <tableColumn id="19" name="Routeadvies" dataDxfId="308">
      <calculatedColumnFormula>IF(H3&gt;=4,"Hergebruik","Recycling")</calculatedColumnFormula>
    </tableColumn>
    <tableColumn id="20" name="Hoog-/laagwaardig" dataDxfId="307"/>
    <tableColumn id="3" name="CO2-nieuw (kg)" dataDxfId="306"/>
    <tableColumn id="4" name="CO2-Hergebruik (kg)" dataDxfId="305"/>
    <tableColumn id="5" name="CO2- recycle (kg)" dataDxfId="304"/>
    <tableColumn id="8" name="Transport-impact " dataDxfId="303"/>
    <tableColumn id="9" name="Transport afstand (km)" dataDxfId="302"/>
    <tableColumn id="15" name="Totale CO2 nieuw" dataDxfId="301">
      <calculatedColumnFormula>Tabel17[[#This Row],[Volume (m3)]]*Tabel17[[#This Row],[CO2-nieuw (kg)]]+Tabel17[[#This Row],[Volume (m3)]]*Tabel17[[#This Row],[Transport afstand (km)]]*Tabel17[[#This Row],[Transport-impact ]]</calculatedColumnFormula>
    </tableColumn>
    <tableColumn id="2" name="Totale CO2 hergebruik" dataDxfId="300">
      <calculatedColumnFormula>Tabel17[[#This Row],[Volume (m3)]]*Tabel17[[#This Row],[CO2-Hergebruik (kg)]]+Tabel17[[#This Row],[Volume (m3)]]*Tabel17[[#This Row],[Transport-impact ]]*Tabel17[[#This Row],[Transport afstand (km)]]</calculatedColumnFormula>
    </tableColumn>
    <tableColumn id="17" name="Totale Co2 recycling" dataDxfId="299">
      <calculatedColumnFormula>Tabel17[[#This Row],[Volume (m3)]]*Tabel17[[#This Row],[CO2- recycle (kg)]]+Tabel17[[#This Row],[Volume (m3)]]*Tabel17[[#This Row],[Transport-impact ]]*Tabel17[[#This Row],[Transport afstand (km)]]</calculatedColumnFormula>
    </tableColumn>
    <tableColumn id="27" name="Klimaatbesparing" dataDxfId="298">
      <calculatedColumnFormula>IF(V3="hergebruik",R3-S3,IF(V3="recycling",T3-S3,""))</calculatedColumnFormula>
    </tableColumn>
    <tableColumn id="28" name="Laagste uitstoot" dataDxfId="297">
      <calculatedColumnFormula>IF(S3=MIN(R3:T3),"Hergebruik",IF(T3=MIN(R3:T3),"Recycling","Nieuw"))</calculatedColumnFormula>
    </tableColumn>
    <tableColumn id="29" name="Verkoopbaar volume (m3)" dataDxfId="296">
      <calculatedColumnFormula>Tabel17[[#This Row],[Volume (m3)]]*Tabel17[[#This Row],[Geschatte recovery rate (%)]]</calculatedColumnFormula>
    </tableColumn>
    <tableColumn id="21" name="Verkoopprijs aan retailer per m³" dataDxfId="295">
      <calculatedColumnFormula>IFERROR(VLOOKUP(J3,$A$12:$D$15,4,FALSE),0)</calculatedColumnFormula>
    </tableColumn>
    <tableColumn id="22" name="Financiële marktwaarde excl. kosten" dataDxfId="294">
      <calculatedColumnFormula>Tabel17[[#This Row],[Verkoopbaar volume (m3)]]*Tabel17[[#This Row],[Verkoopprijs aan retailer per m³]]</calculatedColumnFormula>
    </tableColumn>
  </tableColumns>
  <tableStyleInfo name="TableStyleMedium4" showFirstColumn="0" showLastColumn="0" showRowStripes="1" showColumnStripes="0"/>
</table>
</file>

<file path=xl/tables/table17.xml><?xml version="1.0" encoding="utf-8"?>
<table xmlns="http://schemas.openxmlformats.org/spreadsheetml/2006/main" id="17" name="Tabel23" displayName="Tabel23" ref="A11:D15" headerRowCount="1" totalsRowShown="0" headerRowDxfId="293">
  <autoFilter ref="A11:D15"/>
  <tableColumns count="4">
    <tableColumn id="1" name="Staalklasse" dataDxfId="292"/>
    <tableColumn id="2" name="Retail hergebruik-/recyclingprijs per m³" dataDxfId="291"/>
    <tableColumn id="3" name="Retailer-inkoopfactor" dataDxfId="290"/>
    <tableColumn id="4" name="Verkoopprijs aan retailer per m³" dataDxfId="289">
      <calculatedColumnFormula>Tabel23[[#This Row],[Retailer-inkoopfactor]]*Tabel23[[#This Row],[Retail hergebruik-/recyclingprijs per m³]]</calculatedColumnFormula>
    </tableColumn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id="18" name="Tabel20" displayName="Tabel20" ref="A1:D5" headerRowCount="1" totalsRowShown="0" headerRowDxfId="288" dataDxfId="287">
  <autoFilter ref="A1:D5"/>
  <tableColumns count="4">
    <tableColumn id="1" name="Categorie" dataDxfId="286"/>
    <tableColumn id="2" name="Betekenis" dataDxfId="285"/>
    <tableColumn id="3" name="Hoe beoordelen?" dataDxfId="284"/>
    <tableColumn id="4" name="Voorbeelden" dataDxfId="283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id="19" name="Tabel39" displayName="Tabel39" ref="F1:J5" headerRowCount="1" totalsRowShown="0" headerRowDxfId="282" dataDxfId="281">
  <autoFilter ref="F1:J5"/>
  <tableColumns count="5">
    <tableColumn id="1" name="Categorie" dataDxfId="280"/>
    <tableColumn id="2" name="Definitie" dataDxfId="279"/>
    <tableColumn id="3" name="Voorbeelden in gebouwen " dataDxfId="278"/>
    <tableColumn id="4" name="Bouwdelen" dataDxfId="277"/>
    <tableColumn id="5" name="Typische gebouwtypen" dataDxfId="27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abel11" displayName="Tabel11" ref="A7:C11" headerRowCount="1" totalsRowShown="0">
  <autoFilter ref="A7:C11"/>
  <tableColumns count="3">
    <tableColumn id="1" name="Staal PRR" dataDxfId="275"/>
    <tableColumn id="2" name="Routeadvies" dataDxfId="274"/>
    <tableColumn id="3" name="Onderbouwing" dataDxfId="273"/>
  </tableColumns>
  <tableStyleInfo name="TableStyleMedium4" showFirstColumn="0" showLastColumn="0" showRowStripes="1" showColumnStripes="0"/>
</table>
</file>

<file path=xl/tables/table21.xml><?xml version="1.0" encoding="utf-8"?>
<table xmlns="http://schemas.openxmlformats.org/spreadsheetml/2006/main" id="21" name="Tabel43" displayName="Tabel43" ref="A1:B11" headerRowCount="1" totalsRowShown="0" headerRowDxfId="272" dataDxfId="271">
  <autoFilter ref="A1:B11"/>
  <tableColumns count="2">
    <tableColumn id="1" name="Herkomst" dataDxfId="270"/>
    <tableColumn id="2" name="Volume (m³)" dataDxfId="269"/>
  </tableColumns>
  <tableStyleInfo name="TableStyleMedium4" showFirstColumn="0" showLastColumn="0" showRowStripes="1" showColumnStripes="0"/>
</table>
</file>

<file path=xl/tables/table22.xml><?xml version="1.0" encoding="utf-8"?>
<table xmlns="http://schemas.openxmlformats.org/spreadsheetml/2006/main" id="22" name="Tabel15" displayName="Tabel15" ref="A2:Y7" headerRowCount="1" headerRowDxfId="268" dataDxfId="266" totalsRowDxfId="264" headerRowBorderDxfId="267" tableBorderDxfId="265">
  <autoFilter ref="A2:Y7"/>
  <tableColumns count="25">
    <tableColumn id="1" name="Materiaal-ID" dataDxfId="263"/>
    <tableColumn id="31" name="Element" dataDxfId="262"/>
    <tableColumn id="3" name="Materiaalcategorie" dataDxfId="261"/>
    <tableColumn id="4" name="Volume (m3)" dataDxfId="260"/>
    <tableColumn id="11" name="Demonteerbaarheid " dataDxfId="259"/>
    <tableColumn id="12" name="Materiaalconditie " dataDxfId="258"/>
    <tableColumn id="14" name="Marktpotentie " dataDxfId="257"/>
    <tableColumn id="15" name="Gem. score" dataDxfId="256"/>
    <tableColumn id="16" name="Geschatte recovery rate (%)" dataDxfId="255"/>
    <tableColumn id="10" name="Klasse" dataDxfId="254"/>
    <tableColumn id="18" name="Routeadvies" dataDxfId="253"/>
    <tableColumn id="19" name="Hoog-/laagwaardig" dataDxfId="252"/>
    <tableColumn id="20" name="CO2-nieuw (kg)" dataDxfId="251"/>
    <tableColumn id="21" name="CO2-Hergebruik (kg)" dataDxfId="250"/>
    <tableColumn id="22" name="CO2- recycle (kg)" dataDxfId="249"/>
    <tableColumn id="23" name="Transport-impact " dataDxfId="248"/>
    <tableColumn id="24" name="Transport afstand (km)" dataDxfId="247"/>
    <tableColumn id="25" name="Totale CO2 nieuw" dataDxfId="246">
      <calculatedColumnFormula>Tabel15[[#This Row],[Volume (m3)]]*Tabel15[[#This Row],[CO2-nieuw (kg)]]+Tabel15[[#This Row],[Volume (m3)]]*Tabel15[[#This Row],[Transport afstand (km)]]*Tabel15[[#This Row],[Transport-impact ]]</calculatedColumnFormula>
    </tableColumn>
    <tableColumn id="26" name="Totale CO2 hergebruik" dataDxfId="245">
      <calculatedColumnFormula>Tabel15[[#This Row],[Volume (m3)]]*Tabel15[[#This Row],[CO2-Hergebruik (kg)]]+Tabel15[[#This Row],[Volume (m3)]]*Tabel15[[#This Row],[Transport-impact ]]*Tabel15[[#This Row],[Transport afstand (km)]]</calculatedColumnFormula>
    </tableColumn>
    <tableColumn id="2" name="Totale Co2 recycling" dataDxfId="244" totalsRowDxfId="243">
      <calculatedColumnFormula>Tabel15[[#This Row],[Volume (m3)]]*Tabel15[[#This Row],[CO2- recycle (kg)]]+Tabel15[[#This Row],[Volume (m3)]]*Tabel15[[#This Row],[Transport afstand (km)]]*Tabel15[[#This Row],[Transport-impact ]]</calculatedColumnFormula>
    </tableColumn>
    <tableColumn id="5" name="Klimaatbesparing" dataDxfId="242" totalsRowDxfId="241">
      <calculatedColumnFormula>IF(V3="hergebruik",R3-S3,IF(V3="recycling",T3-S3,""))</calculatedColumnFormula>
    </tableColumn>
    <tableColumn id="6" name="Laagste uitstoot" dataDxfId="240" totalsRowDxfId="239">
      <calculatedColumnFormula>IF(S3=MIN(R3:T3),"Hergebruik",IF(T3=MIN(R3:T3),"Recycling","Nieuw"))</calculatedColumnFormula>
    </tableColumn>
    <tableColumn id="7" name="Verkoopbaar volume (m3)" dataDxfId="238" totalsRowDxfId="237">
      <calculatedColumnFormula>Tabel15[[#This Row],[Volume (m3)]]*Tabel15[[#This Row],[Geschatte recovery rate (%)]]</calculatedColumnFormula>
    </tableColumn>
    <tableColumn id="8" name="Verkoopprijs aan retailer per m³" dataDxfId="236" totalsRowDxfId="235">
      <calculatedColumnFormula>IFERROR(VLOOKUP(#REF!,$A$10:$D$13,4,FALSE),0)</calculatedColumnFormula>
    </tableColumn>
    <tableColumn id="9" name="Financiële marktwaarde excl. kosten" dataDxfId="234" totalsRowDxfId="233">
      <calculatedColumnFormula>Tabel15[[#This Row],[Verkoopbaar volume (m3)]]*Tabel15[[#This Row],[Verkoopprijs aan retailer per m³]]</calculatedColumnFormula>
    </tableColumn>
  </tableColumns>
  <tableStyleInfo name="TableStyleMedium4" showFirstColumn="0" showLastColumn="0" showRowStripes="1" showColumnStripes="0"/>
</table>
</file>

<file path=xl/tables/table23.xml><?xml version="1.0" encoding="utf-8"?>
<table xmlns="http://schemas.openxmlformats.org/spreadsheetml/2006/main" id="23" name="Tabel28" displayName="Tabel28" ref="A9:D13" headerRowCount="1" totalsRowShown="0" headerRowDxfId="232" dataDxfId="231">
  <autoFilter ref="A9:D13"/>
  <tableColumns count="4">
    <tableColumn id="1" name="Betoncategorie" dataDxfId="230"/>
    <tableColumn id="2" name="Richtprijs granulaat / acceptatiebasis per m³" dataDxfId="229"/>
    <tableColumn id="3" name="Verwerker-/inkoopfactor" dataDxfId="228"/>
    <tableColumn id="4" name="Netto verkoopprijs / afgifteprijs per m³" dataDxfId="227">
      <calculatedColumnFormula>Tabel28[[#This Row],[Richtprijs granulaat / acceptatiebasis per m³]]*Tabel28[[#This Row],[Verwerker-/inkoopfactor]]</calculatedColumnFormula>
    </tableColumn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id="24" name="Tabel33" displayName="Tabel33" ref="A1:D5" headerRowCount="1" totalsRowShown="0" headerRowDxfId="226" dataDxfId="225">
  <autoFilter ref="A1:D5"/>
  <tableColumns count="4">
    <tableColumn id="1" name="Categorie" dataDxfId="224"/>
    <tableColumn id="2" name="Betekenis" dataDxfId="223"/>
    <tableColumn id="3" name="Hoe beoordelen?" dataDxfId="222"/>
    <tableColumn id="4" name="Voorbeelden" dataDxfId="221"/>
  </tableColumns>
  <tableStyleInfo name="TableStyleMedium4" showFirstColumn="0" showLastColumn="0" showRowStripes="1" showColumnStripes="0"/>
</table>
</file>

<file path=xl/tables/table25.xml><?xml version="1.0" encoding="utf-8"?>
<table xmlns="http://schemas.openxmlformats.org/spreadsheetml/2006/main" id="25" name="Tabel38" displayName="Tabel38" ref="F1:J5" headerRowCount="1" totalsRowShown="0" headerRowDxfId="220" dataDxfId="219">
  <autoFilter ref="F1:J5"/>
  <tableColumns count="5">
    <tableColumn id="1" name="Categorie" dataDxfId="218"/>
    <tableColumn id="2" name="Definitie" dataDxfId="217"/>
    <tableColumn id="3" name="Voorbeelden in gebouwen " dataDxfId="216"/>
    <tableColumn id="4" name="Bouwdelen" dataDxfId="215"/>
    <tableColumn id="5" name="Typische gebouwtypen" dataDxfId="214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abel47" displayName="Tabel47" ref="A7:C11" headerRowCount="1" totalsRowShown="0">
  <autoFilter ref="A7:C11"/>
  <tableColumns count="3">
    <tableColumn id="1" name="PRR" dataDxfId="213"/>
    <tableColumn id="2" name="Routeadvies" dataDxfId="212"/>
    <tableColumn id="3" name="Redenering" dataDxfId="211"/>
  </tableColumns>
  <tableStyleInfo name="TableStyleMedium4" showFirstColumn="0" showLastColumn="0" showRowStripes="1" showColumnStripes="0"/>
</table>
</file>

<file path=xl/tables/table27.xml><?xml version="1.0" encoding="utf-8"?>
<table xmlns="http://schemas.openxmlformats.org/spreadsheetml/2006/main" id="27" name="Tabel44" displayName="Tabel44" ref="A1:B11" headerRowCount="1" totalsRowShown="0" headerRowDxfId="210" dataDxfId="209">
  <autoFilter ref="A1:B11"/>
  <tableColumns count="2">
    <tableColumn id="1" name="Herkomst" dataDxfId="208"/>
    <tableColumn id="2" name="Volume (m³)" dataDxfId="207"/>
  </tableColumns>
  <tableStyleInfo name="TableStyleMedium4" showFirstColumn="0" showLastColumn="0" showRowStripes="1" showColumnStripes="0"/>
</table>
</file>

<file path=xl/tables/table28.xml><?xml version="1.0" encoding="utf-8"?>
<table xmlns="http://schemas.openxmlformats.org/spreadsheetml/2006/main" id="28" name="Tabel14" displayName="Tabel14" ref="A2:AA7" headerRowCount="1" headerRowDxfId="206" dataDxfId="205" totalsRowDxfId="204">
  <autoFilter ref="A2:AA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</autoFilter>
  <tableColumns count="27">
    <tableColumn id="1" name="Materiaal-ID" dataDxfId="203"/>
    <tableColumn id="13" name="Element" dataDxfId="202"/>
    <tableColumn id="6" name="recycle benaming" dataDxfId="201"/>
    <tableColumn id="2" name="Materiaalcategorie" dataDxfId="200"/>
    <tableColumn id="4" name="Klasse" dataDxfId="199"/>
    <tableColumn id="3" name="Volume (m3)" dataDxfId="198"/>
    <tableColumn id="11" name="Demonteerbaarheid " dataDxfId="197"/>
    <tableColumn id="12" name="Materiaalconditie " dataDxfId="196"/>
    <tableColumn id="14" name="Marktpotentie " dataDxfId="195"/>
    <tableColumn id="16" name="Gem. score" dataDxfId="194">
      <calculatedColumnFormula>AVERAGE(Tabel14[[#This Row],[Demonteerbaarheid ]:[Marktpotentie ]])</calculatedColumnFormula>
    </tableColumn>
    <tableColumn id="7" name="Geschatte recovery rate (%)" dataDxfId="193"/>
    <tableColumn id="18" name="Routeadvies" dataDxfId="192">
      <calculatedColumnFormula>IF(E3="A-koper","Hergebruik",IF(E3="C-koper","Recycling",IF(J3&gt;=4,"Hergebruik","Recycling")))</calculatedColumnFormula>
    </tableColumn>
    <tableColumn id="5" name="Hoog-/laagwaardig" dataDxfId="191">
      <calculatedColumnFormula>IF(L3&gt;=75%,"Hoogwaardig","Laagwaardig")</calculatedColumnFormula>
    </tableColumn>
    <tableColumn id="32" name="CO2-nieuw (kg)" dataDxfId="190"/>
    <tableColumn id="33" name="CO2-Hergebruik (kg)" dataDxfId="189"/>
    <tableColumn id="36" name="CO2- recycle (kg)" dataDxfId="188"/>
    <tableColumn id="34" name="Transport-impact " dataDxfId="187"/>
    <tableColumn id="17" name="Transport afstand (km)" dataDxfId="186">
      <calculatedColumnFormula>1*50</calculatedColumnFormula>
    </tableColumn>
    <tableColumn id="38" name="Totale CO2 nieuw" dataDxfId="185">
      <calculatedColumnFormula>#REF!*Tabel14[[#This Row],[CO2-nieuw (kg)]]</calculatedColumnFormula>
    </tableColumn>
    <tableColumn id="39" name="Totale CO2 hergebruik" dataDxfId="184">
      <calculatedColumnFormula>#REF!*Tabel14[[#This Row],[CO2-Hergebruik (kg)]]+#REF!*Tabel14[[#This Row],[Transport afstand (km)]]*Tabel14[[#This Row],[Transport-impact ]]</calculatedColumnFormula>
    </tableColumn>
    <tableColumn id="37" name="Totale Co2 recycling" dataDxfId="183">
      <calculatedColumnFormula>#REF!*Tabel14[[#This Row],[CO2- recycle (kg)]]+Tabel14[[#This Row],[Transport-impact ]]*Tabel14[[#This Row],[Transport afstand (km)]]*Tabel14[[#This Row],[Totale CO2 hergebruik]]</calculatedColumnFormula>
    </tableColumn>
    <tableColumn id="35" name="Klimaatbesparing" dataDxfId="182">
      <calculatedColumnFormula>IF(W3="hergebruik",S3-T3,IF(W3="recycling",U3-T3,""))</calculatedColumnFormula>
    </tableColumn>
    <tableColumn id="19" name="Laagste uitstoot" dataDxfId="181"/>
    <tableColumn id="20" name="Verkoopbaar volume (m3)" dataDxfId="180">
      <calculatedColumnFormula>IF(OR(F3="",K3=""),"",F3*K3)</calculatedColumnFormula>
    </tableColumn>
    <tableColumn id="21" name="Verkoopprijs aan retailer per m³" dataDxfId="179">
      <calculatedColumnFormula>IFERROR(VLOOKUP(#REF!,$A$13:$D$15,4,FALSE),0)</calculatedColumnFormula>
    </tableColumn>
    <tableColumn id="22" name="Financiële marktwaarde excl. kosten" dataDxfId="178">
      <calculatedColumnFormula>Tabel113[[#This Row],[Verkoopbaar volume (m3)]]*Tabel113[[#This Row],[Verkoopprijs aan retailer per m³]]</calculatedColumnFormula>
    </tableColumn>
    <tableColumn id="23" name="Advies" dataDxfId="177"/>
  </tableColumns>
  <tableStyleInfo name="TableStyleMedium4" showFirstColumn="0" showLastColumn="0" showRowStripes="1" showColumnStripes="0"/>
</table>
</file>

<file path=xl/tables/table29.xml><?xml version="1.0" encoding="utf-8"?>
<table xmlns="http://schemas.openxmlformats.org/spreadsheetml/2006/main" id="29" name="Tabel22" displayName="Tabel22" ref="B10:E14" headerRowCount="1" totalsRowShown="0" headerRowDxfId="176" dataDxfId="174" headerRowBorderDxfId="175" tableBorderDxfId="173" totalsRowBorderDxfId="172">
  <autoFilter ref="B10:E14"/>
  <tableColumns count="4">
    <tableColumn id="1" name="Koperklasse" dataDxfId="171"/>
    <tableColumn id="2" name="Retail recyclingprijs per m³" dataDxfId="170"/>
    <tableColumn id="3" name="Metaalhandel-inkoopfactor" dataDxfId="169"/>
    <tableColumn id="4" name="Verkoopprijs aan retailer/metaalhandelaar per m³" dataDxfId="168">
      <calculatedColumnFormula>Tabel22[[#This Row],[Metaalhandel-inkoopfactor]]*Tabel22[[#This Row],[Retail recyclingprijs per m³]]</calculatedColumnFormula>
    </tableColumn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id="30" name="Tabel24" displayName="Tabel24" ref="A2:C6" headerRowCount="1" totalsRowShown="0">
  <autoFilter ref="A2:C6"/>
  <tableColumns count="3">
    <tableColumn id="1" name="Koperklasse" dataDxfId="167"/>
    <tableColumn id="2" name="Verkoopprijs per m³" dataDxfId="166"/>
    <tableColumn id="3" name="Wat betekent dit ongeveer in kg koperwaarde?" dataDxfId="16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id="31" name="Tabel37" displayName="Tabel37" ref="G1:K5" headerRowCount="1" totalsRowShown="0" headerRowDxfId="164" dataDxfId="163">
  <autoFilter ref="G1:K5"/>
  <tableColumns count="5">
    <tableColumn id="1" name="Categorie" dataDxfId="162"/>
    <tableColumn id="2" name="Definitie" dataDxfId="161"/>
    <tableColumn id="3" name="Voorbeelden in gebouwen " dataDxfId="160"/>
    <tableColumn id="4" name="Bouwdelen" dataDxfId="159"/>
    <tableColumn id="5" name="Typische gebouwtypen" dataDxfId="158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abel27" displayName="Tabel27" ref="A8:C11" headerRowCount="1" totalsRowShown="0">
  <autoFilter ref="A8:C11"/>
  <tableColumns count="3">
    <tableColumn id="1" name="Koper PRR" dataDxfId="157"/>
    <tableColumn id="2" name="Routeadvies" dataDxfId="156"/>
    <tableColumn id="3" name="Onderbouwing" dataDxfId="155"/>
  </tableColumns>
  <tableStyleInfo name="TableStyleMedium4" showFirstColumn="0" showLastColumn="0" showRowStripes="1" showColumnStripes="0"/>
</table>
</file>

<file path=xl/tables/table33.xml><?xml version="1.0" encoding="utf-8"?>
<table xmlns="http://schemas.openxmlformats.org/spreadsheetml/2006/main" id="33" name="Tabel45" displayName="Tabel45" ref="A1:B11" headerRowCount="1" totalsRowShown="0" headerRowDxfId="154" dataDxfId="153">
  <autoFilter ref="A1:B11"/>
  <tableColumns count="2">
    <tableColumn id="1" name="Herkomst" dataDxfId="152"/>
    <tableColumn id="2" name="Volume (m³)" dataDxfId="151"/>
  </tableColumns>
  <tableStyleInfo name="TableStyleMedium4" showFirstColumn="0" showLastColumn="0" showRowStripes="1" showColumnStripes="0"/>
</table>
</file>

<file path=xl/tables/table34.xml><?xml version="1.0" encoding="utf-8"?>
<table xmlns="http://schemas.openxmlformats.org/spreadsheetml/2006/main" id="34" name="Tabel16" displayName="Tabel16" ref="A2:Y9" headerRowCount="1" headerRowDxfId="150" dataDxfId="148" totalsRowDxfId="146" headerRowBorderDxfId="149" tableBorderDxfId="147">
  <autoFilter ref="A2:Y9"/>
  <tableColumns count="25">
    <tableColumn id="1" name="Materiaal-ID" dataDxfId="145"/>
    <tableColumn id="34" name="Element" dataDxfId="144"/>
    <tableColumn id="6" name="Materiaalcategorie" dataDxfId="143"/>
    <tableColumn id="7" name="Volume (m3)" dataDxfId="142"/>
    <tableColumn id="11" name="Demonteerbaarheid " dataDxfId="141"/>
    <tableColumn id="12" name="Materiaalconditie " dataDxfId="140"/>
    <tableColumn id="14" name="Marktpotentie " dataDxfId="139"/>
    <tableColumn id="16" name="Gem. score" dataDxfId="138"/>
    <tableColumn id="18" name="Geschatte recovery rate (%)" dataDxfId="137"/>
    <tableColumn id="8" name="Klasse" dataDxfId="136"/>
    <tableColumn id="19" name="Routeadvies" dataDxfId="135"/>
    <tableColumn id="20" name="Hoog-/laagwaardig" dataDxfId="134"/>
    <tableColumn id="21" name="CO2-nieuw (kg)" dataDxfId="133"/>
    <tableColumn id="22" name="CO2-Hergebruik (kg)" dataDxfId="132"/>
    <tableColumn id="23" name="CO2- recycle (kg)" dataDxfId="131"/>
    <tableColumn id="24" name="Transport-impact " dataDxfId="130"/>
    <tableColumn id="25" name="Transport afstand (km)" dataDxfId="129"/>
    <tableColumn id="26" name="Totale CO2 nieuw" dataDxfId="128">
      <calculatedColumnFormula>Tabel16[[#This Row],[Volume (m3)]]*Tabel16[[#This Row],[CO2-nieuw (kg)]]+Tabel16[[#This Row],[Volume (m3)]]*Tabel16[[#This Row],[Transport-impact ]]*Tabel16[[#This Row],[Transport afstand (km)]]</calculatedColumnFormula>
    </tableColumn>
    <tableColumn id="2" name="Totale CO2 hergebruik" dataDxfId="127" totalsRowDxfId="126"/>
    <tableColumn id="4" name="Totale Co2 recycling" dataDxfId="125" totalsRowDxfId="124"/>
    <tableColumn id="3" name="Klimaatbesparing" dataDxfId="123" totalsRowDxfId="122">
      <calculatedColumnFormula>Tabel16[[#This Row],[Totale CO2 nieuw]]-Tabel16[[#This Row],[Totale CO2 hergebruik]]</calculatedColumnFormula>
    </tableColumn>
    <tableColumn id="5" name="Laagste uitstoot" dataDxfId="121" totalsRowDxfId="120">
      <calculatedColumnFormula>IF(S3=MIN(R3:T3),"Hergebruik",IF(T3=MIN(R3:T3),"Recycling","Nieuw"))</calculatedColumnFormula>
    </tableColumn>
    <tableColumn id="9" name="Verkoopbaar volume (m3)" dataDxfId="119" totalsRowDxfId="118">
      <calculatedColumnFormula>Tabel16[[#This Row],[Volume (m3)]]*Tabel16[[#This Row],[Geschatte recovery rate (%)]]</calculatedColumnFormula>
    </tableColumn>
    <tableColumn id="10" name="Verkoopprijs aan retailer per m³" dataDxfId="117" totalsRowDxfId="116">
      <calculatedColumnFormula>IFERROR(VLOOKUP(J3,$A$12:$D$15,4,FALSE),0)</calculatedColumnFormula>
    </tableColumn>
    <tableColumn id="15" name="Financiële marktwaarde excl. kosten" dataDxfId="115" totalsRowDxfId="114">
      <calculatedColumnFormula>Tabel113[[#This Row],[Verkoopbaar volume (m3)]]*Tabel113[[#This Row],[Verkoopprijs aan retailer per m³]]</calculatedColumnFormula>
    </tableColumn>
  </tableColumns>
  <tableStyleInfo name="TableStyleMedium4" showFirstColumn="0" showLastColumn="0" showRowStripes="1" showColumnStripes="0"/>
</table>
</file>

<file path=xl/tables/table35.xml><?xml version="1.0" encoding="utf-8"?>
<table xmlns="http://schemas.openxmlformats.org/spreadsheetml/2006/main" id="35" name="Tabel25" displayName="Tabel25" ref="A11:D15" headerRowCount="1" totalsRowShown="0" headerRowDxfId="113" dataDxfId="112">
  <autoFilter ref="A11:D15"/>
  <tableColumns count="4">
    <tableColumn id="1" name="Aluminiumklasse" dataDxfId="111"/>
    <tableColumn id="2" name="Retail recyclingprijs per m³" dataDxfId="110"/>
    <tableColumn id="3" name="Metaalhandel-inkoopfactor" dataDxfId="109"/>
    <tableColumn id="4" name="Verkoopprijs aan retailer/metaalhandelaar per m³" dataDxfId="108">
      <calculatedColumnFormula>Tabel25[[#This Row],[Retail recyclingprijs per m³]]*Tabel25[[#This Row],[Metaalhandel-inkoopfactor]]</calculatedColumnFormula>
    </tableColumn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id="36" name="Tabel34" displayName="Tabel34" ref="A1:D5" headerRowCount="1" totalsRowShown="0" headerRowDxfId="107" dataDxfId="106">
  <autoFilter ref="A1:D5">
    <filterColumn colId="0" hiddenButton="1"/>
    <filterColumn colId="1" hiddenButton="1"/>
    <filterColumn colId="2" hiddenButton="1"/>
    <filterColumn colId="3" hiddenButton="1"/>
  </autoFilter>
  <tableColumns count="4">
    <tableColumn id="1" name="Categorie" dataDxfId="105"/>
    <tableColumn id="2" name="Betekenis" dataDxfId="104"/>
    <tableColumn id="3" name="Hoe beoordelen?" dataDxfId="103"/>
    <tableColumn id="4" name="Voorbeelden" dataDxfId="102"/>
  </tableColumns>
  <tableStyleInfo name="TableStyleMedium4" showFirstColumn="0" showLastColumn="0" showRowStripes="1" showColumnStripes="0"/>
</table>
</file>

<file path=xl/tables/table37.xml><?xml version="1.0" encoding="utf-8"?>
<table xmlns="http://schemas.openxmlformats.org/spreadsheetml/2006/main" id="37" name="Tabel36" displayName="Tabel36" ref="F1:J5" headerRowCount="1" totalsRowShown="0" headerRowDxfId="101" dataDxfId="100">
  <autoFilter ref="F1:J5"/>
  <tableColumns count="5">
    <tableColumn id="1" name="Categorie" dataDxfId="99"/>
    <tableColumn id="2" name="Definitie" dataDxfId="98"/>
    <tableColumn id="3" name="Voorbeelden in gebouwen " dataDxfId="97"/>
    <tableColumn id="4" name="Bouwdelen" dataDxfId="96"/>
    <tableColumn id="5" name="Typische gebouwtypen" dataDxfId="95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abel29" displayName="Tabel29" ref="A7:C10" headerRowCount="1" totalsRowShown="0">
  <autoFilter ref="A7:C10"/>
  <tableColumns count="3">
    <tableColumn id="1" name="Aluminium PRR" dataDxfId="94"/>
    <tableColumn id="2" name="Routeadvies" dataDxfId="93"/>
    <tableColumn id="3" name="Onderbouwing" dataDxfId="92"/>
  </tableColumns>
  <tableStyleInfo name="TableStyleMedium4" showFirstColumn="0" showLastColumn="0" showRowStripes="1" showColumnStripes="0"/>
</table>
</file>

<file path=xl/tables/table39.xml><?xml version="1.0" encoding="utf-8"?>
<table xmlns="http://schemas.openxmlformats.org/spreadsheetml/2006/main" id="39" name="Tabel46" displayName="Tabel46" ref="A1:B11" headerRowCount="1" totalsRowShown="0" headerRowDxfId="91" dataDxfId="90">
  <autoFilter ref="A1:B11"/>
  <tableColumns count="2">
    <tableColumn id="1" name="Herkomst" dataDxfId="89"/>
    <tableColumn id="2" name="Volume (m³)" dataDxfId="88"/>
  </tableColumns>
  <tableStyleInfo name="TableStyleMedium4" showFirstColumn="0" showLastColumn="0" showRowStripes="1" showColumnStripes="0"/>
</table>
</file>

<file path=xl/tables/table40.xml><?xml version="1.0" encoding="utf-8"?>
<table xmlns="http://schemas.openxmlformats.org/spreadsheetml/2006/main" id="40" name="Tabel13" displayName="Tabel13" ref="A2:Z8" headerRowCount="1" headerRowDxfId="87" dataDxfId="85" totalsRowDxfId="83" headerRowBorderDxfId="86" tableBorderDxfId="84">
  <autoFilter ref="A2:Z8"/>
  <tableColumns count="26">
    <tableColumn id="1" name="Materiaal-ID" dataDxfId="82"/>
    <tableColumn id="36" name="Element" dataDxfId="81"/>
    <tableColumn id="2" name="Materiaalcategorie" dataDxfId="80"/>
    <tableColumn id="3" name="Volume (m2)" dataDxfId="79"/>
    <tableColumn id="11" name="Demonteerbaarheid " dataDxfId="78"/>
    <tableColumn id="12" name="Materiaalconditie " dataDxfId="77"/>
    <tableColumn id="14" name="Marktpotentie " dataDxfId="76"/>
    <tableColumn id="16" name="Gem. score" dataDxfId="75"/>
    <tableColumn id="18" name="Geschatte recovery rate (%)" dataDxfId="74">
      <calculatedColumnFormula>IFERROR(ROUND(Tabel16[[#This Row],[Gem. score]]/5,2),0)</calculatedColumnFormula>
    </tableColumn>
    <tableColumn id="37" name="Klasse" dataDxfId="73"/>
    <tableColumn id="19" name="Routeadvies" dataDxfId="72">
      <calculatedColumnFormula>IF(D3="A-aluminium","Hergebruik",IF(D3="C-aluminium","Recycling",IF(H3&gt;=4,"Hergebruik","Recycling")))</calculatedColumnFormula>
    </tableColumn>
    <tableColumn id="20" name="Hoog-/laagwaardig" dataDxfId="71"/>
    <tableColumn id="21" name="CO2-nieuw (kg)" dataDxfId="70"/>
    <tableColumn id="22" name="CO2-Hergebruik (kg)" dataDxfId="69"/>
    <tableColumn id="23" name="CO2- recycle (kg)" dataDxfId="68"/>
    <tableColumn id="24" name="Transport-impact " dataDxfId="67"/>
    <tableColumn id="25" name="Transport afstand (km)" dataDxfId="66"/>
    <tableColumn id="5" name="Totale CO2 nieuw" dataDxfId="65">
      <calculatedColumnFormula>Tabel13[[#This Row],[Volume (m2)]]*Tabel13[[#This Row],[CO2-nieuw (kg)]]+Tabel13[[#This Row],[Volume (m2)]]*Tabel13[[#This Row],[Transport-impact ]]*Tabel13[[#This Row],[Transport afstand (km)]]</calculatedColumnFormula>
    </tableColumn>
    <tableColumn id="26" name="Totale CO2 hergebruik" dataDxfId="64"/>
    <tableColumn id="4" name="Totale Co2 recycling" dataDxfId="63" totalsRowDxfId="62"/>
    <tableColumn id="6" name="Klimaatbesparing" dataDxfId="61" totalsRowDxfId="60">
      <calculatedColumnFormula>IF(V3="hergebruik",R3-S3,IF(V3="recycling",T3-S3,""))</calculatedColumnFormula>
    </tableColumn>
    <tableColumn id="7" name="Laagste uitstoot" dataDxfId="59" totalsRowDxfId="58">
      <calculatedColumnFormula>IF(S3=MIN(R3:T3),"Hergebruik",IF(T3=MIN(R3:T3),"Recycling","Nieuw"))</calculatedColumnFormula>
    </tableColumn>
    <tableColumn id="8" name="Verkoopbaar volume (m3)" dataDxfId="57" totalsRowDxfId="56">
      <calculatedColumnFormula>Tabel113[[#This Row],[Volume (m3)]]*Tabel113[[#This Row],[Geschatte recovery rate (%)]]</calculatedColumnFormula>
    </tableColumn>
    <tableColumn id="9" name="Verkoopprijs aan retailer per m³" dataDxfId="55" totalsRowDxfId="54">
      <calculatedColumnFormula>IFERROR(VLOOKUP(#REF!,$A$19:$D$23,4,FALSE),0)</calculatedColumnFormula>
    </tableColumn>
    <tableColumn id="17" name="Financiële marktwaarde excl. kosten" dataDxfId="53" totalsRowDxfId="52">
      <calculatedColumnFormula>Tabel13[[#This Row],[Verkoopprijs aan retailer per m³]]*Tabel13[[#This Row],[Verkoopbaar volume (m3)]]</calculatedColumnFormula>
    </tableColumn>
    <tableColumn id="27" name="Advies" dataDxfId="51" totalsRowDxfId="50"/>
  </tableColumns>
  <tableStyleInfo name="TableStyleMedium4" showFirstColumn="0" showLastColumn="0" showRowStripes="1" showColumnStripes="0"/>
</table>
</file>

<file path=xl/tables/table41.xml><?xml version="1.0" encoding="utf-8"?>
<table xmlns="http://schemas.openxmlformats.org/spreadsheetml/2006/main" id="41" name="Tabel30" displayName="Tabel30" ref="A1:D5" headerRowCount="1" totalsRowShown="0" headerRowDxfId="49" dataDxfId="48">
  <autoFilter ref="A1:D5">
    <filterColumn colId="0" hiddenButton="1"/>
    <filterColumn colId="1" hiddenButton="1"/>
    <filterColumn colId="2" hiddenButton="1"/>
    <filterColumn colId="3" hiddenButton="1"/>
  </autoFilter>
  <tableColumns count="4">
    <tableColumn id="1" name="Categorie" dataDxfId="47"/>
    <tableColumn id="2" name="Betekenis" dataDxfId="46"/>
    <tableColumn id="3" name="Hoe beoordelen?" dataDxfId="45"/>
    <tableColumn id="4" name="Voorbeelden" dataDxfId="44"/>
  </tableColumns>
  <tableStyleInfo name="TableStyleMedium4" showFirstColumn="0" showLastColumn="0" showRowStripes="1" showColumnStripes="0"/>
</table>
</file>

<file path=xl/tables/table42.xml><?xml version="1.0" encoding="utf-8"?>
<table xmlns="http://schemas.openxmlformats.org/spreadsheetml/2006/main" id="42" name="Tabel35" displayName="Tabel35" ref="F1:J5" headerRowCount="1" totalsRowShown="0" headerRowDxfId="43" dataDxfId="42">
  <autoFilter ref="F1:J5"/>
  <tableColumns count="5">
    <tableColumn id="1" name="Categorie" dataDxfId="41"/>
    <tableColumn id="2" name="Definitie" dataDxfId="40"/>
    <tableColumn id="3" name="Voorbeelden in gebouwen " dataDxfId="39"/>
    <tableColumn id="4" name="Bouwdelen" dataDxfId="38"/>
    <tableColumn id="5" name="Typische gebouwtypen" dataDxfId="37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43" name="Tabel328" displayName="Tabel328" ref="A1:D5" headerRowCount="1" totalsRowShown="0" headerRowDxfId="36" dataDxfId="35">
  <autoFilter ref="A1:D5"/>
  <tableColumns count="4">
    <tableColumn id="1" name="Categorie" dataDxfId="34"/>
    <tableColumn id="2" name="Betekenis" dataDxfId="33"/>
    <tableColumn id="3" name="Hoe beoordelen?" dataDxfId="32"/>
    <tableColumn id="4" name="Voorbeelden" dataDxfId="31"/>
  </tableColumns>
  <tableStyleInfo name="TableStyleMedium4" showFirstColumn="0" showLastColumn="0" showRowStripes="1" showColumnStripes="0"/>
</table>
</file>

<file path=xl/tables/table44.xml><?xml version="1.0" encoding="utf-8"?>
<table xmlns="http://schemas.openxmlformats.org/spreadsheetml/2006/main" id="44" name="Tabel3315" displayName="Tabel3315" ref="K1:N5" headerRowCount="1" totalsRowShown="0" headerRowDxfId="30" dataDxfId="29">
  <autoFilter ref="K1:N5"/>
  <tableColumns count="4">
    <tableColumn id="1" name="Categorie" dataDxfId="28"/>
    <tableColumn id="2" name="Betekenis" dataDxfId="27"/>
    <tableColumn id="3" name="Hoe beoordelen?" dataDxfId="26"/>
    <tableColumn id="4" name="Voorbeelden" dataDxfId="25"/>
  </tableColumns>
  <tableStyleInfo name="TableStyleMedium4" showFirstColumn="0" showLastColumn="0" showRowStripes="1" showColumnStripes="0"/>
</table>
</file>

<file path=xl/tables/table45.xml><?xml version="1.0" encoding="utf-8"?>
<table xmlns="http://schemas.openxmlformats.org/spreadsheetml/2006/main" id="45" name="Tabel3116" displayName="Tabel3116" ref="P1:T5" headerRowCount="1" totalsRowShown="0" headerRowDxfId="24" dataDxfId="23">
  <autoFilter ref="P1:T5"/>
  <tableColumns count="5">
    <tableColumn id="1" name="Categorie" dataDxfId="22"/>
    <tableColumn id="2" name="Betekenis" dataDxfId="21"/>
    <tableColumn id="3" name="Hoe beoordelen?" dataDxfId="20"/>
    <tableColumn id="5" name="Categorie voor metaalhandelaar" dataDxfId="19"/>
    <tableColumn id="4" name="Voorbeelden" dataDxfId="18"/>
  </tableColumns>
  <tableStyleInfo name="TableStyleMedium4" showFirstColumn="0" showLastColumn="0" showRowStripes="1" showColumnStripes="0"/>
</table>
</file>

<file path=xl/tables/table46.xml><?xml version="1.0" encoding="utf-8"?>
<table xmlns="http://schemas.openxmlformats.org/spreadsheetml/2006/main" id="46" name="Tabel3417" displayName="Tabel3417" ref="V1:Y5" headerRowCount="1" totalsRowShown="0" headerRowDxfId="17" dataDxfId="16">
  <autoFilter ref="V1:Y5"/>
  <tableColumns count="4">
    <tableColumn id="1" name="Categorie" dataDxfId="15"/>
    <tableColumn id="2" name="Betekenis" dataDxfId="14"/>
    <tableColumn id="3" name="Hoe beoordelen?" dataDxfId="13"/>
    <tableColumn id="4" name="Voorbeelden" dataDxfId="12"/>
  </tableColumns>
  <tableStyleInfo name="TableStyleMedium4" showFirstColumn="0" showLastColumn="0" showRowStripes="1" showColumnStripes="0"/>
</table>
</file>

<file path=xl/tables/table47.xml><?xml version="1.0" encoding="utf-8"?>
<table xmlns="http://schemas.openxmlformats.org/spreadsheetml/2006/main" id="47" name="Tabel3022" displayName="Tabel3022" ref="AA1:AD5" headerRowCount="1" totalsRowShown="0" headerRowDxfId="11" dataDxfId="10">
  <autoFilter ref="AA1:AD5"/>
  <tableColumns count="4">
    <tableColumn id="1" name="Categorie" dataDxfId="9"/>
    <tableColumn id="2" name="Betekenis" dataDxfId="8"/>
    <tableColumn id="3" name="Hoe beoordelen?" dataDxfId="7"/>
    <tableColumn id="4" name="Voorbeelden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2.xml" Id="rId1" /><Relationship Type="http://schemas.openxmlformats.org/officeDocument/2006/relationships/table" Target="/xl/tables/table13.xml" Id="rId2" /><Relationship Type="http://schemas.openxmlformats.org/officeDocument/2006/relationships/table" Target="/xl/tables/table14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8.xml" Id="rId1" /><Relationship Type="http://schemas.openxmlformats.org/officeDocument/2006/relationships/table" Target="/xl/tables/table19.xml" Id="rId2" /><Relationship Type="http://schemas.openxmlformats.org/officeDocument/2006/relationships/table" Target="/xl/tables/table20.xml" Id="rId3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2.xml" Id="rId1" /><Relationship Type="http://schemas.openxmlformats.org/officeDocument/2006/relationships/table" Target="/xl/tables/table23.xml" Id="rId2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4.xml" Id="rId1" /><Relationship Type="http://schemas.openxmlformats.org/officeDocument/2006/relationships/table" Target="/xl/tables/table25.xml" Id="rId2" /><Relationship Type="http://schemas.openxmlformats.org/officeDocument/2006/relationships/table" Target="/xl/tables/table26.xml" Id="rId3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8.xml" Id="rId1" /><Relationship Type="http://schemas.openxmlformats.org/officeDocument/2006/relationships/table" Target="/xl/tables/table29.xml" Id="rId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Relationship Type="http://schemas.openxmlformats.org/officeDocument/2006/relationships/table" Target="/xl/tables/table32.xml" Id="rId3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34.xml" Id="rId1" /><Relationship Type="http://schemas.openxmlformats.org/officeDocument/2006/relationships/table" Target="/xl/tables/table35.xml" Id="rId2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36.xml" Id="rId1" /><Relationship Type="http://schemas.openxmlformats.org/officeDocument/2006/relationships/table" Target="/xl/tables/table37.xml" Id="rId2" /><Relationship Type="http://schemas.openxmlformats.org/officeDocument/2006/relationships/table" Target="/xl/tables/table38.xml" Id="rId3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39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0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1.xml" Id="rId1" /><Relationship Type="http://schemas.openxmlformats.org/officeDocument/2006/relationships/table" Target="/xl/tables/table42.xml" Id="rId2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43.xml" Id="rId1" /><Relationship Type="http://schemas.openxmlformats.org/officeDocument/2006/relationships/table" Target="/xl/tables/table44.xml" Id="rId2" /><Relationship Type="http://schemas.openxmlformats.org/officeDocument/2006/relationships/table" Target="/xl/tables/table45.xml" Id="rId3" /><Relationship Type="http://schemas.openxmlformats.org/officeDocument/2006/relationships/table" Target="/xl/tables/table46.xml" Id="rId4" /><Relationship Type="http://schemas.openxmlformats.org/officeDocument/2006/relationships/table" Target="/xl/tables/table47.xml" Id="rId5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E2:J30"/>
  <sheetViews>
    <sheetView tabSelected="1" topLeftCell="B1" zoomScale="60" zoomScaleNormal="60" workbookViewId="0">
      <selection activeCell="H5" sqref="H5"/>
    </sheetView>
  </sheetViews>
  <sheetFormatPr baseColWidth="8" defaultColWidth="8.796875" defaultRowHeight="14.25"/>
  <cols>
    <col width="25.6640625" customWidth="1" min="1" max="1"/>
    <col width="69.46484375" bestFit="1" customWidth="1" min="2" max="2"/>
    <col width="18.6640625" customWidth="1" min="3" max="3"/>
    <col width="20.1328125" customWidth="1" min="4" max="4"/>
    <col width="38" customWidth="1" min="5" max="5"/>
    <col width="10.1328125" customWidth="1" min="6" max="6"/>
    <col width="41.46484375" bestFit="1" customWidth="1" min="7" max="7"/>
    <col width="96" customWidth="1" min="8" max="8"/>
    <col width="27.46484375" bestFit="1" customWidth="1" min="9" max="9"/>
    <col width="48.33203125" bestFit="1" customWidth="1" min="10" max="10"/>
  </cols>
  <sheetData>
    <row r="2">
      <c r="G2" s="45" t="inlineStr">
        <is>
          <t>Tabblad in Excel</t>
        </is>
      </c>
      <c r="H2" s="45" t="inlineStr">
        <is>
          <t>Functie binnen het rekenmodel</t>
        </is>
      </c>
    </row>
    <row r="3" ht="20.45" customHeight="1">
      <c r="G3" s="44" t="inlineStr">
        <is>
          <t>Methodiek</t>
        </is>
      </c>
      <c r="H3" s="44" t="inlineStr">
        <is>
          <t>Bevat een toelichitng over het gebruik van het rekenmodel.</t>
        </is>
      </c>
    </row>
    <row r="4" ht="29.45" customHeight="1">
      <c r="G4" s="44" t="inlineStr">
        <is>
          <t>Dashboard</t>
        </is>
      </c>
      <c r="H4" s="44" t="inlineStr">
        <is>
          <t>In dit blad wordt er een overzicht gegeven van de uitkomsten uit het rekenmodel die gekoppeld zijn met Bim-data.</t>
        </is>
      </c>
    </row>
    <row r="5" ht="28.5" customHeight="1">
      <c r="G5" s="44" t="inlineStr">
        <is>
          <t>Hout, Staal, Beton, Koper, Aluminium, Bitumen</t>
        </is>
      </c>
      <c r="H5" s="44" t="inlineStr">
        <is>
          <t xml:space="preserve">Bevatten de materiaalspecifieke berekeningen voor recovery rate, CO₂-uitstoot en financiële waarde. Opgesteld opbasis van voorbeeld emlementen en volumes. </t>
        </is>
      </c>
    </row>
    <row r="6" ht="28.5" customHeight="1">
      <c r="G6" s="44" t="inlineStr">
        <is>
          <t>Hout 2.0, Staal 2.0, Beton 2.0, Koper 2.0, Aluminium 2.0, Bitumen 2.0</t>
        </is>
      </c>
      <c r="H6" s="44" t="inlineStr">
        <is>
          <t>Bevatten de indeling van materialen in categorieën en onderbouwingen.</t>
        </is>
      </c>
    </row>
    <row r="7" ht="28.5" customHeight="1">
      <c r="G7" s="44" t="inlineStr">
        <is>
          <t>Hout-data, Staal-data, Beton-data, Koper-data, Aluminium-data, Bitumen-data</t>
        </is>
      </c>
      <c r="H7" s="44" t="inlineStr">
        <is>
          <t>in dit blad komt de data afkomstig uit een BIM-model, en wordt hier in een tabel genoteerd.</t>
        </is>
      </c>
    </row>
    <row r="8" ht="14.75" customHeight="1">
      <c r="G8" s="44" t="inlineStr">
        <is>
          <t>Categorie</t>
        </is>
      </c>
      <c r="H8" s="44" t="inlineStr">
        <is>
          <t>Geeft een totaaloverzicht van de A-, B-, C- en bijzonder-indeling per materiaalsoort.</t>
        </is>
      </c>
    </row>
    <row r="9" ht="14.75" customHeight="1"/>
    <row r="10" ht="14.75" customHeight="1"/>
    <row r="11" ht="14.75" customHeight="1">
      <c r="G11" s="2" t="inlineStr">
        <is>
          <t>Lagenda</t>
        </is>
      </c>
      <c r="H11" t="inlineStr">
        <is>
          <t>Formule</t>
        </is>
      </c>
    </row>
    <row r="12" ht="14.75" customHeight="1">
      <c r="G12" s="2" t="inlineStr">
        <is>
          <t xml:space="preserve">Doel: </t>
        </is>
      </c>
      <c r="H12" s="52" t="inlineStr">
        <is>
          <t>Deze workbook vult ontbrekende recovery-velden in met referentie-eenheden en conservatieve aannames.</t>
        </is>
      </c>
    </row>
    <row r="13" ht="32.45" customHeight="1">
      <c r="G13" s="2" t="inlineStr">
        <is>
          <t xml:space="preserve">Belangrijk: </t>
        </is>
      </c>
      <c r="H13" s="52" t="inlineStr">
        <is>
          <t>waar projectspecifieke hoeveelheden ontbreken, is gewerkt met 1 m3, 1 kg of 1 stuk als referentie.</t>
        </is>
      </c>
    </row>
    <row r="14" ht="32.45" customHeight="1">
      <c r="G14" s="2" t="inlineStr">
        <is>
          <t>Praktische recovery rate (%) =</t>
        </is>
      </c>
      <c r="H14" s="52" t="inlineStr">
        <is>
          <t>=ALS.FOUT(AFRONDEN([@[Gem. score]]/5;2);0)</t>
        </is>
      </c>
    </row>
    <row r="15" ht="14.75" customHeight="1">
      <c r="G15" s="2" t="inlineStr">
        <is>
          <t xml:space="preserve">Gem. score = </t>
        </is>
      </c>
      <c r="H15" s="52" t="inlineStr">
        <is>
          <t>Gemiddelde van Demonteerbaarheid, Materiaalconditie en Marktpotentie</t>
        </is>
      </c>
    </row>
    <row r="16">
      <c r="G16" s="2" t="inlineStr">
        <is>
          <t xml:space="preserve">Hergebruik/recycling </t>
        </is>
      </c>
      <c r="H16" s="52" t="inlineStr">
        <is>
          <t>Zijn verdeeld op basis van routeadvies via onderstaande lookup-tabel.</t>
        </is>
      </c>
    </row>
    <row r="17">
      <c r="G17" s="2" t="inlineStr">
        <is>
          <t>Gebaseerd op schattingen en waarnemen</t>
        </is>
      </c>
      <c r="H17" s="52" t="n"/>
    </row>
    <row r="19">
      <c r="G19" s="44" t="inlineStr">
        <is>
          <t>Routeadvies</t>
        </is>
      </c>
      <c r="H19" s="44" t="inlineStr">
        <is>
          <t>Betekenis</t>
        </is>
      </c>
    </row>
    <row r="20" ht="14.75" customHeight="1">
      <c r="G20" s="44" t="inlineStr">
        <is>
          <t>Hergebruik</t>
        </is>
      </c>
      <c r="H20" s="44" t="inlineStr">
        <is>
          <t>Het materiaal kan grotendeels opnieuw als product of element worden toegepast.</t>
        </is>
      </c>
    </row>
    <row r="21" ht="14.75" customHeight="1">
      <c r="G21" s="44" t="inlineStr">
        <is>
          <t xml:space="preserve">Recycling </t>
        </is>
      </c>
      <c r="H21" s="44" t="inlineStr">
        <is>
          <t>Het materiaal wordt verwerkt tot een lagere toepassing.</t>
        </is>
      </c>
    </row>
    <row r="22">
      <c r="G22" s="44" t="inlineStr">
        <is>
          <t>Handmatig beoordelen</t>
        </is>
      </c>
      <c r="H22" s="44" t="inlineStr">
        <is>
          <t>Het materiaal vraagt extra controle door een expert.</t>
        </is>
      </c>
    </row>
    <row r="25" ht="14.75" customHeight="1">
      <c r="G25" s="250" t="inlineStr">
        <is>
          <t>Eindbeoordeling dashboard</t>
        </is>
      </c>
    </row>
    <row r="26">
      <c r="G26" s="45" t="inlineStr">
        <is>
          <t>Categorie</t>
        </is>
      </c>
      <c r="H26" s="45" t="inlineStr">
        <is>
          <t>Wanneer score je Ja?</t>
        </is>
      </c>
      <c r="I26" s="45" t="inlineStr">
        <is>
          <t>Wanneer score je Nee?</t>
        </is>
      </c>
      <c r="J26" s="45" t="inlineStr">
        <is>
          <t>Wanneer score je Handmatig?</t>
        </is>
      </c>
    </row>
    <row r="27" ht="33.6" customHeight="1">
      <c r="G27" s="250" t="inlineStr">
        <is>
          <t>Financieel positief?</t>
        </is>
      </c>
      <c r="H27" s="44" t="inlineStr">
        <is>
          <t>Als de financiële marktwaarde groter is dan €0.</t>
        </is>
      </c>
      <c r="I27" s="44" t="inlineStr">
        <is>
          <t>Als de financiële marktwaarde €0 of lager is.</t>
        </is>
      </c>
      <c r="J27" s="44" t="inlineStr">
        <is>
          <t>Als de klasse Totaal, leeg of Handmatig beoordelen is.</t>
        </is>
      </c>
    </row>
    <row r="28" ht="28.5" customHeight="1">
      <c r="E28" s="1" t="n"/>
      <c r="G28" s="250" t="inlineStr">
        <is>
          <t>Klimaatpositief?</t>
        </is>
      </c>
      <c r="H28" s="44" t="inlineStr">
        <is>
          <t>Als het klimaat-routeadvies aangeeft dat hergebruik of recycling klimaatvriendelijker is.</t>
        </is>
      </c>
      <c r="I28" s="44" t="inlineStr">
        <is>
          <t>Als er geen klimaatvoordeel uit het model komt.</t>
        </is>
      </c>
      <c r="J28" s="44" t="inlineStr">
        <is>
          <t>Als er geen klimaatadvies is of de klasse handmatig beoordeeld moet worden.</t>
        </is>
      </c>
    </row>
    <row r="29" ht="28.5" customHeight="1">
      <c r="G29" s="250" t="inlineStr">
        <is>
          <t>Recovery hoog?</t>
        </is>
      </c>
      <c r="H29" s="44" t="inlineStr">
        <is>
          <t>Als de PRR 50% of hoger is.</t>
        </is>
      </c>
      <c r="I29" s="44" t="inlineStr">
        <is>
          <t>Als de PRR lager dan 50% is.</t>
        </is>
      </c>
      <c r="J29" s="44" t="inlineStr">
        <is>
          <t>Als er geen PRR is of de klasse handmatig beoordeeld moet worden.</t>
        </is>
      </c>
    </row>
    <row r="30" ht="28.5" customHeight="1">
      <c r="G30" s="250" t="inlineStr">
        <is>
          <t>Eindbeoordeling</t>
        </is>
      </c>
      <c r="H30" s="250" t="inlineStr">
        <is>
          <t>Interessant bij minimaal 2 keer Ja.</t>
        </is>
      </c>
      <c r="I30" s="250" t="inlineStr">
        <is>
          <t>Niet interessant bij 0 keer Ja.</t>
        </is>
      </c>
      <c r="J30" s="250" t="inlineStr">
        <is>
          <t>Twijfelachtig bij 1 keer Ja of Handmatig beoordelen als er te weinig betrouwbare input is.</t>
        </is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L145"/>
  <sheetViews>
    <sheetView topLeftCell="A4" zoomScale="73" zoomScaleNormal="90" workbookViewId="0">
      <selection activeCell="P10" sqref="P10"/>
    </sheetView>
  </sheetViews>
  <sheetFormatPr baseColWidth="8" defaultColWidth="8.796875" defaultRowHeight="14.25"/>
  <cols>
    <col width="15.86328125" customWidth="1" style="302" min="1" max="1"/>
    <col width="12.33203125" customWidth="1" style="302" min="2" max="2"/>
    <col width="11" customWidth="1" style="302" min="3" max="3"/>
    <col width="12.6640625" customWidth="1" style="302" min="4" max="4"/>
    <col width="16.6640625" customWidth="1" style="302" min="5" max="5"/>
    <col width="19.796875" customWidth="1" style="302" min="6" max="6"/>
    <col width="16.46484375" customWidth="1" style="302" min="7" max="7"/>
    <col width="15.19921875" customWidth="1" style="302" min="8" max="8"/>
    <col width="10.796875" bestFit="1" customWidth="1" style="302" min="9" max="9"/>
    <col width="21.1328125" bestFit="1" customWidth="1" style="302" min="10" max="10"/>
    <col width="14.6640625" customWidth="1" style="302" min="11" max="11"/>
    <col width="16.86328125" customWidth="1" style="302" min="12" max="12"/>
    <col width="11.33203125" customWidth="1" style="302" min="13" max="13"/>
    <col width="15.19921875" customWidth="1" style="302" min="14" max="14"/>
    <col width="14.19921875" customWidth="1" style="302" min="15" max="15"/>
    <col width="17.19921875" customWidth="1" style="302" min="16" max="16"/>
    <col width="27.86328125" bestFit="1" customWidth="1" style="302" min="17" max="17"/>
    <col width="19.46484375" customWidth="1" style="302" min="18" max="18"/>
    <col width="13.1328125" customWidth="1" style="302" min="19" max="19"/>
    <col width="20.46484375" bestFit="1" customWidth="1" style="302" min="20" max="20"/>
    <col width="12.1328125" customWidth="1" style="302" min="21" max="21"/>
    <col width="9" customWidth="1" style="302" min="22" max="22"/>
    <col width="12.19921875" customWidth="1" style="302" min="23" max="23"/>
    <col width="20.46484375" bestFit="1" customWidth="1" style="302" min="24" max="24"/>
    <col width="31.46484375" bestFit="1" customWidth="1" style="302" min="25" max="25"/>
    <col width="17.1328125" customWidth="1" style="302" min="26" max="26"/>
    <col width="14.1328125" customWidth="1" style="302" min="27" max="27"/>
    <col width="19" bestFit="1" customWidth="1" style="302" min="28" max="28"/>
    <col width="13.796875" bestFit="1" customWidth="1" style="302" min="29" max="29"/>
    <col width="19.46484375" bestFit="1" customWidth="1" style="302" min="30" max="30"/>
    <col width="16.1328125" bestFit="1" customWidth="1" style="302" min="31" max="31"/>
    <col width="10.796875" bestFit="1" customWidth="1" style="302" min="32" max="32"/>
    <col width="11.1328125" bestFit="1" customWidth="1" style="302" min="33" max="33"/>
    <col width="9.796875" bestFit="1" customWidth="1" style="302" min="34" max="34"/>
    <col width="8.796875" customWidth="1" style="302" min="35" max="16384"/>
  </cols>
  <sheetData>
    <row r="1" ht="21" customHeight="1">
      <c r="A1" s="373" t="inlineStr">
        <is>
          <t>Dashboard sloopproject</t>
        </is>
      </c>
      <c r="B1" s="302" t="n"/>
      <c r="C1" s="302" t="n"/>
      <c r="D1" s="302" t="n"/>
      <c r="E1" s="302" t="n"/>
      <c r="F1" s="302" t="n"/>
      <c r="G1" s="302" t="n"/>
      <c r="H1" s="302" t="n"/>
      <c r="I1" s="302" t="n"/>
      <c r="J1" s="302" t="n"/>
      <c r="K1" s="302" t="n"/>
      <c r="L1" s="302" t="n"/>
      <c r="M1" s="302" t="n"/>
      <c r="N1" s="302" t="n"/>
      <c r="O1" s="302" t="n"/>
      <c r="P1" s="302" t="n"/>
      <c r="Q1" s="302" t="n"/>
      <c r="R1" s="302" t="n"/>
      <c r="S1" s="302" t="n"/>
      <c r="T1" s="301" t="n"/>
      <c r="U1" s="301" t="n"/>
      <c r="V1" s="301" t="n"/>
      <c r="W1" s="301" t="n"/>
      <c r="X1" s="301" t="n"/>
      <c r="Y1" s="301" t="n"/>
      <c r="Z1" s="301" t="n"/>
      <c r="AA1" s="301" t="n"/>
      <c r="AB1" s="301" t="n"/>
      <c r="AC1" s="301" t="n"/>
      <c r="AD1" s="301" t="n"/>
      <c r="AE1" s="301" t="n"/>
      <c r="AF1" s="301" t="n"/>
      <c r="AG1" s="301" t="n"/>
    </row>
    <row r="2" ht="51" customHeight="1">
      <c r="A2" s="303" t="inlineStr">
        <is>
          <t>Materiaalstroom</t>
        </is>
      </c>
      <c r="B2" s="304" t="inlineStr">
        <is>
          <t xml:space="preserve"> Bouwdeel uit BIM</t>
        </is>
      </c>
      <c r="C2" s="304" t="inlineStr">
        <is>
          <t>BIM-volume m³</t>
        </is>
      </c>
      <c r="D2" s="366" t="inlineStr">
        <is>
          <t>Transport Impact</t>
        </is>
      </c>
      <c r="E2" s="366" t="inlineStr">
        <is>
          <t>Transportafstand (km)</t>
        </is>
      </c>
      <c r="F2" s="367" t="inlineStr">
        <is>
          <t>Demonteerbaarheid</t>
        </is>
      </c>
      <c r="G2" s="367" t="inlineStr">
        <is>
          <t xml:space="preserve">Materiaalconditie </t>
        </is>
      </c>
      <c r="H2" s="367" t="inlineStr">
        <is>
          <t xml:space="preserve">Marktpotentie </t>
        </is>
      </c>
      <c r="I2" s="304" t="inlineStr">
        <is>
          <t>PRR</t>
        </is>
      </c>
      <c r="J2" s="304" t="inlineStr">
        <is>
          <t>Routeadvies</t>
        </is>
      </c>
      <c r="K2" s="304" t="inlineStr">
        <is>
          <t>Grenswaarde</t>
        </is>
      </c>
      <c r="L2" s="304" t="inlineStr">
        <is>
          <t>Klasse</t>
        </is>
      </c>
      <c r="M2" s="305" t="inlineStr">
        <is>
          <t>Tot. nieuw CO2 (kg)</t>
        </is>
      </c>
      <c r="N2" s="304" t="inlineStr">
        <is>
          <t>Tot. hergebruik CO2 (kg)</t>
        </is>
      </c>
      <c r="O2" s="304" t="inlineStr">
        <is>
          <t>Tot. recycling Co2 (kg)</t>
        </is>
      </c>
      <c r="P2" s="304" t="inlineStr">
        <is>
          <t>Klimaatbespring kg Co2</t>
        </is>
      </c>
      <c r="Q2" s="304" t="inlineStr">
        <is>
          <t>Routeadvies 2</t>
        </is>
      </c>
      <c r="R2" s="304" t="inlineStr">
        <is>
          <t>Verkoopbare volume m³</t>
        </is>
      </c>
      <c r="S2" s="304" t="inlineStr">
        <is>
          <t>Verkoopprijs per m³</t>
        </is>
      </c>
      <c r="T2" s="304" t="inlineStr">
        <is>
          <t>Financiële marktwaarde excl. kosten</t>
        </is>
      </c>
      <c r="U2" s="368" t="inlineStr">
        <is>
          <t>Recovery hoog?</t>
        </is>
      </c>
      <c r="V2" s="368" t="inlineStr">
        <is>
          <t>Klimaat positief?</t>
        </is>
      </c>
      <c r="W2" s="368" t="inlineStr">
        <is>
          <t>Financiele positief?</t>
        </is>
      </c>
      <c r="X2" s="369" t="inlineStr">
        <is>
          <t>Eindbeoordeling</t>
        </is>
      </c>
      <c r="Y2" s="307" t="n"/>
      <c r="Z2" s="372" t="n"/>
      <c r="AA2" s="302" t="n"/>
      <c r="AB2" s="302" t="n"/>
      <c r="AC2" s="302" t="n"/>
      <c r="AD2" s="302" t="n"/>
      <c r="AE2" s="302" t="n"/>
      <c r="AF2" s="302" t="n"/>
      <c r="AG2" s="301" t="n"/>
      <c r="AH2" s="301" t="n"/>
      <c r="AI2" s="301" t="n"/>
    </row>
    <row r="3" ht="14.75" customHeight="1">
      <c r="A3" s="337" t="inlineStr">
        <is>
          <t>Hout</t>
        </is>
      </c>
      <c r="B3" s="338" t="inlineStr">
        <is>
          <t>Totaal</t>
        </is>
      </c>
      <c r="C3" s="275">
        <f>'Hout-data'!B2</f>
        <v/>
      </c>
      <c r="D3" s="275" t="n">
        <v>2</v>
      </c>
      <c r="E3" s="276">
        <f>""</f>
        <v/>
      </c>
      <c r="F3" s="276">
        <f>AVERAGE(F4:F12)</f>
        <v/>
      </c>
      <c r="G3" s="276">
        <f>AVERAGE(G4:G12)</f>
        <v/>
      </c>
      <c r="H3" s="276">
        <f>AVERAGE(H4:H12)</f>
        <v/>
      </c>
      <c r="I3" s="288">
        <f>IFERROR(ROUND(AVERAGE(Tabel26[[#This Row],[Demonteerbaarheid]],Tabel26[[#This Row],[Materiaalconditie ]],Tabel26[[#This Row],[Marktpotentie ]])/5,2),0)</f>
        <v/>
      </c>
      <c r="J3" s="287">
        <f>IF(I3="","Handmatig beoordelen",IF(I3&gt;=0.8,"Hergebruik",IF(I3&gt;=0.55,"Hergebruik &gt; recycling",IF(I3&gt;=0.3,"Recycling","Handmatig beoordelen"))))</f>
        <v/>
      </c>
      <c r="K3" s="287">
        <f>IF(Tabel26[[#This Row],[Routeadvies]]="Hergebruik","&gt;= 0,8",IF(Tabel26[[#This Row],[Routeadvies]]="Hergebruik &gt; recycling","&gt;= 0,55 en &lt; 0,8",IF(Tabel26[[#This Row],[Routeadvies]]="Recycling","&gt;= 0,3 en &lt; 0,55",IF(Tabel26[[#This Row],[Routeadvies]]="Handmatig beoordelen","&lt; 0,3 of geen score",""))))</f>
        <v/>
      </c>
      <c r="L3" s="286">
        <f>IF($B3="Totaal","Totaal",IF($A3="Hout",IF(OR($B3="Trappen",$B3="Ramen",$B3="Deuren",$B3="Kozijnen",$B3="Dakkapellen",$B3="Dakconstructie"),"Bijzonder hout",IF($G3="","Handmatig beoordelen",IF($G3&gt;=4,"A-hout",IF($G3&gt;=3,"B-hout",IF($G3&gt;0,"C-hout","Handmatig beoordelen"))))),IF($A3="Staal",IF(OR($B3="Kolommen",$B3="Balken",$B3="Liggers",$B3="Buisstaalconstructies",$B3="Kozijnen",$B3="Trappen",$B3="Hekwerken",$B3="Leuningen"),"Bijzonder staal",IF($G3="","Handmatig beoordelen",IF($G3&gt;=4,"A-staal",IF($G3&gt;=2,"B-staal",IF($G3&gt;0,"C-staal","Handmatig beoordelen"))))),IF($A3="Beton",IF(OR($B3="Funderingen",$B3="Heipalen",$B3="Prefab elementen",$B3="Kanaalplaatvloeren",$B3="Breedplaatvloeren",$B3="Trappen",$B3="Gevelpanelen"),"Bijzonder beton",IF($G3="","Handmatig beoordelen",IF($G3&gt;=4,"A-beton",IF($G3&gt;=3,"B-beton",IF($G3&gt;0,"C-beton","Handmatig beoordelen"))))),IF(OR($A3="Aluminium",$A3="Alumiunium"),IF(OR($B3="Ramen",$B3="Deuren",$B3="Kozijnen",$B3="Vliesgevels",$B3="Gevelsystemen",$B3="Zonwering",$B3="Trappen"),"Bijzonder aluminium",IF($G3="","Handmatig beoordelen",IF($G3&gt;=4,"A-aluminium",IF($G3&gt;=3,"B-aluminium",IF($G3&gt;0,"C-aluminium","Handmatig beoordelen"))))),IF($A3="Koper",IF(OR($B3="Installaties",$B3="Technische ruimte",$B3="Verdeelkast",$B3="Meterkast",$B3="Bliksemafleiding",$B3="Leidingnetten"),"Bijzonder koper",IF($G3="","Handmatig beoordelen",IF($G3&gt;=4,"A-koper",IF($G3&gt;=3,"B-koper",IF($G3&gt;0,"C-koper","Handmatig beoordelen"))))),IF($A3="Bitumen",IF(OR($B3="Dakopbouw",$B3="Groendak",$B3="Opstanden",$B3="Kimmen",$B3="Aansluitdetails",$B3="Dakdetails"),"Bijzonder bitumen",IF($G3="","Handmatig beoordelen",IF($G3&gt;=4,"A-bitumen",IF($G3&gt;=3,"B-bitumen",IF($G3&gt;0,"C-bitumen","Handmatig beoordelen"))))),"Handmatig beoordelen")))))))</f>
        <v/>
      </c>
      <c r="M3" s="330">
        <f>SUM(L4:L12)</f>
        <v/>
      </c>
      <c r="N3" s="331">
        <f>IF(Tabel26[[#This Row],[Klasse]]="Totaal",SUM(M4:M12),IFERROR(Tabel26[[#This Row],[BIM-volume m³]]*INDEX(Tabel113[CO2-Hergebruik (kg)],1)+Tabel26[[#This Row],[BIM-volume m³]]*INDEX(Tabel113[Transport-impact ],1)*IF(Tabel26[[#This Row],[Transportafstand (km)]]="",0,Tabel26[[#This Row],[Transportafstand (km)]]),0))</f>
        <v/>
      </c>
      <c r="O3" s="172">
        <f>IFERROR(Tabel26[[#This Row],[BIM-volume m³]]*INDEX(Tabel113[CO2- recycle (kg)],1)+Tabel26[[#This Row],[BIM-volume m³]]*Tabel26[[#This Row],[Transport Impact]]*IF(Tabel26[[#This Row],[Transportafstand (km)]]="",0,Tabel26[[#This Row],[Transportafstand (km)]]),0)</f>
        <v/>
      </c>
      <c r="P3" s="57">
        <f>IF(Q3="hergebruik",M3-N3,IF(Q3="recycling",O3-N3,""))</f>
        <v/>
      </c>
      <c r="Q3" s="289">
        <f>IF(OR($M3="",$M3=0),"Geen beoordeling",IF(AND($N3=0,$O3=0),"Geen beoordeling",IF($N3&lt;$O3,"Hergebruik",IF($O3&lt;$N3,"Recycling","Hergebruik en recycling gelijk"))))</f>
        <v/>
      </c>
      <c r="R3" s="286">
        <f>IFERROR(Tabel26[[#This Row],[BIM-volume m³]]*Tabel26[[#This Row],[PRR]],0)</f>
        <v/>
      </c>
      <c r="S3" s="391">
        <f>IFERROR(VLOOKUP(Tabel26[[#This Row],[Klasse]],Hout!$A$12:$D$15,4,FALSE),0)</f>
        <v/>
      </c>
      <c r="T3" s="392">
        <f>R3*S3</f>
        <v/>
      </c>
      <c r="U3" s="332">
        <f>IF(OR($L3="Handmatig beoordelen",$L3="",$L3="Totaal",$I3=""),"Handmatig",IF($I3&gt;=50%,"Ja","Nee"))</f>
        <v/>
      </c>
      <c r="V3" s="287">
        <f>IF(OR($L3="Handmatig beoordelen",$L3="",$L3="Totaal"),"Handmatig",IF($P3&gt;0,"Ja","Nee"))</f>
        <v/>
      </c>
      <c r="W3" s="287">
        <f>IF(OR($L3="Handmatig beoordelen",$L3="",$L3="Totaal"),"Handmatig",IF($T3&gt;0,"Ja","Nee"))</f>
        <v/>
      </c>
      <c r="X3" s="333">
        <f>IF(OR($U3="Handmatig",$V3="Handmatig",$W3="Handmatig"),"Handmatig beoordelen",IF(COUNTIF($U3:$W3,"Ja")&gt;=2,"Interessant",IF(COUNTIF($U3:$W3,"Ja")=1,"Eigen beoordeling","Niet interessant")))</f>
        <v/>
      </c>
      <c r="Y3" s="307" t="n"/>
      <c r="Z3" s="363" t="n"/>
      <c r="AA3" s="363" t="n"/>
      <c r="AB3" s="362" t="n"/>
      <c r="AC3" s="363" t="n"/>
      <c r="AD3" s="363" t="n"/>
      <c r="AE3" s="363" t="n"/>
      <c r="AF3" s="363" t="n"/>
      <c r="AG3" s="301" t="n"/>
      <c r="AH3" s="301" t="n"/>
      <c r="AI3" s="301" t="n"/>
    </row>
    <row r="4">
      <c r="A4" s="337" t="inlineStr">
        <is>
          <t>Hout</t>
        </is>
      </c>
      <c r="B4" s="285" t="inlineStr">
        <is>
          <t>Plafonds</t>
        </is>
      </c>
      <c r="C4" s="277">
        <f>'Hout-data'!B3</f>
        <v/>
      </c>
      <c r="D4" s="277" t="n">
        <v>2</v>
      </c>
      <c r="E4" s="276" t="n">
        <v>20</v>
      </c>
      <c r="F4" s="283" t="n">
        <v>1</v>
      </c>
      <c r="G4" s="278" t="n">
        <v>3</v>
      </c>
      <c r="H4" s="278" t="n">
        <v>2</v>
      </c>
      <c r="I4" s="288">
        <f>IFERROR(ROUND(AVERAGE(Tabel26[[#This Row],[Demonteerbaarheid]],Tabel26[[#This Row],[Materiaalconditie ]],Tabel26[[#This Row],[Marktpotentie ]])/5,2),0)</f>
        <v/>
      </c>
      <c r="J4" s="287">
        <f>IF(I4="","Handmatig beoordelen",IF(I4&gt;=0.8,"Hergebruik",IF(I4&gt;=0.55,"Hergebruik &gt; recycling",IF(I4&gt;=0.3,"Recycling","Handmatig beoordelen"))))</f>
        <v/>
      </c>
      <c r="K4" s="287">
        <f>IF(Tabel26[[#This Row],[Routeadvies]]="Hergebruik","&gt;= 0,8",IF(Tabel26[[#This Row],[Routeadvies]]="Hergebruik &gt; recycling","&gt;= 0,55 en &lt; 0,8",IF(Tabel26[[#This Row],[Routeadvies]]="Recycling","&gt;= 0,3 en &lt; 0,55",IF(Tabel26[[#This Row],[Routeadvies]]="Handmatig beoordelen","&lt; 0,3 of geen score",""))))</f>
        <v/>
      </c>
      <c r="L4" s="286">
        <f>IF($B4="Totaal","Totaal",IF($A4="Hout",IF(OR($B4="Trappen",$B4="Ramen",$B4="Deuren",$B4="Kozijnen",$B4="Dakkapellen",$B4="Dakconstructie"),"Bijzonder hout",IF($G4="","Handmatig beoordelen",IF($G4&gt;=4,"A-hout",IF($G4&gt;=3,"B-hout",IF($G4&gt;0,"C-hout","Handmatig beoordelen"))))),IF($A4="Staal",IF(OR($B4="Kolommen",$B4="Balken",$B4="Liggers",$B4="Buisstaalconstructies",$B4="Kozijnen",$B4="Trappen",$B4="Hekwerken",$B4="Leuningen"),"Bijzonder staal",IF($G4="","Handmatig beoordelen",IF($G4&gt;=4,"A-staal",IF($G4&gt;=2,"B-staal",IF($G4&gt;0,"C-staal","Handmatig beoordelen"))))),IF($A4="Beton",IF(OR($B4="Funderingen",$B4="Heipalen",$B4="Prefab elementen",$B4="Kanaalplaatvloeren",$B4="Breedplaatvloeren",$B4="Trappen",$B4="Gevelpanelen"),"Bijzonder beton",IF($G4="","Handmatig beoordelen",IF($G4&gt;=4,"A-beton",IF($G4&gt;=3,"B-beton",IF($G4&gt;0,"C-beton","Handmatig beoordelen"))))),IF(OR($A4="Aluminium",$A4="Alumiunium"),IF(OR($B4="Ramen",$B4="Deuren",$B4="Kozijnen",$B4="Vliesgevels",$B4="Gevelsystemen",$B4="Zonwering",$B4="Trappen"),"Bijzonder aluminium",IF($G4="","Handmatig beoordelen",IF($G4&gt;=4,"A-aluminium",IF($G4&gt;=3,"B-aluminium",IF($G4&gt;0,"C-aluminium","Handmatig beoordelen"))))),IF($A4="Koper",IF(OR($B4="Installaties",$B4="Technische ruimte",$B4="Verdeelkast",$B4="Meterkast",$B4="Bliksemafleiding",$B4="Leidingnetten"),"Bijzonder koper",IF($G4="","Handmatig beoordelen",IF($G4&gt;=4,"A-koper",IF($G4&gt;=3,"B-koper",IF($G4&gt;0,"C-koper","Handmatig beoordelen"))))),IF($A4="Bitumen",IF(OR($B4="Dakopbouw",$B4="Groendak",$B4="Opstanden",$B4="Kimmen",$B4="Aansluitdetails",$B4="Dakdetails"),"Bijzonder bitumen",IF($G4="","Handmatig beoordelen",IF($G4&gt;=4,"A-bitumen",IF($G4&gt;=3,"B-bitumen",IF($G4&gt;0,"C-bitumen","Handmatig beoordelen"))))),"Handmatig beoordelen")))))))</f>
        <v/>
      </c>
      <c r="M4" s="330">
        <f>IFERROR(Tabel26[[#This Row],[BIM-volume m³]]*INDEX(Tabel113[CO2-nieuw (kg)],1)+Tabel26[[#This Row],[BIM-volume m³]]*INDEX(Tabel113[Transport-impact ],1)*IF(Tabel26[[#This Row],[Transportafstand (km)]]="",0,Tabel26[[#This Row],[Transportafstand (km)]]),0)</f>
        <v/>
      </c>
      <c r="N4" s="331">
        <f>IF(Tabel26[[#This Row],[Klasse]]="Totaal",SUM(M5:M12),IFERROR(Tabel26[[#This Row],[BIM-volume m³]]*INDEX(Tabel113[CO2-Hergebruik (kg)],1)+Tabel26[[#This Row],[BIM-volume m³]]*INDEX(Tabel113[Transport-impact ],1)*IF(Tabel26[[#This Row],[Transportafstand (km)]]="",0,Tabel26[[#This Row],[Transportafstand (km)]]),0))</f>
        <v/>
      </c>
      <c r="O4" s="172">
        <f>IFERROR(Tabel26[[#This Row],[BIM-volume m³]]*INDEX(Tabel113[CO2- recycle (kg)],1)+Tabel26[[#This Row],[BIM-volume m³]]*Tabel26[[#This Row],[Transport Impact]]*IF(Tabel26[[#This Row],[Transportafstand (km)]]="",0,Tabel26[[#This Row],[Transportafstand (km)]]),0)</f>
        <v/>
      </c>
      <c r="P4" s="390">
        <f>IF($B11="Totaal",SUM($O$10),IFERROR(MAX(0,$M4-MIN($N4,$O4)),0))</f>
        <v/>
      </c>
      <c r="Q4" s="289">
        <f>IF(OR($M4="",$M4=0),"Geen beoordeling",IF(AND($N4=0,$O4=0),"Geen beoordeling",IF($N4&lt;$O4,"Hergebruik",IF($O4&lt;$N4,"Recycling","Hergebruik en recycling gelijk"))))</f>
        <v/>
      </c>
      <c r="R4" s="286">
        <f>IFERROR(Tabel26[[#This Row],[BIM-volume m³]]*Tabel26[[#This Row],[PRR]],0)</f>
        <v/>
      </c>
      <c r="S4" s="393">
        <f>IFERROR(VLOOKUP(Tabel26[[#This Row],[Klasse]],Hout!$A$12:$D$15,4,FALSE),0)</f>
        <v/>
      </c>
      <c r="T4" s="392">
        <f>R4*S4</f>
        <v/>
      </c>
      <c r="U4" s="287">
        <f>IF(OR($L4="Handmatig beoordelen",$L4="",$L4="Totaal",$I4=""),"Handmatig",IF($I4&gt;=50%,"Ja","Nee"))</f>
        <v/>
      </c>
      <c r="V4" s="287">
        <f>IF(OR($L4="Handmatig beoordelen",$L4="",$L4="Totaal"),"Handmatig",IF($P4&gt;0,"Ja","Nee"))</f>
        <v/>
      </c>
      <c r="W4" s="287">
        <f>IF(OR($L4="Handmatig beoordelen",$L4="",$L4="Totaal"),"Handmatig",IF($T4&gt;0,"Ja","Nee"))</f>
        <v/>
      </c>
      <c r="X4" s="333">
        <f>IF(OR($U4="Handmatig",$V4="Handmatig",$W4="Handmatig"),"Handmatig beoordelen",IF(COUNTIF($U4:$W4,"Ja")&gt;=2,"Interessant",IF(COUNTIF($U4:$W4,"Ja")=1,"Eigen beoordeling","Niet interessant")))</f>
        <v/>
      </c>
      <c r="Y4" s="307" t="n"/>
      <c r="Z4" s="361" t="n"/>
      <c r="AA4" s="360" t="n"/>
      <c r="AB4" s="362" t="n"/>
      <c r="AC4" s="361" t="n"/>
      <c r="AD4" s="360" t="n"/>
      <c r="AE4" s="360" t="n"/>
      <c r="AF4" s="394" t="n"/>
      <c r="AG4" s="301" t="n"/>
      <c r="AH4" s="301" t="n"/>
      <c r="AI4" s="301" t="n"/>
    </row>
    <row r="5">
      <c r="A5" s="337" t="inlineStr">
        <is>
          <t>Hout</t>
        </is>
      </c>
      <c r="B5" s="285" t="inlineStr">
        <is>
          <t>Kolommen</t>
        </is>
      </c>
      <c r="C5" s="277">
        <f>'Hout-data'!B4</f>
        <v/>
      </c>
      <c r="D5" s="277" t="n">
        <v>2</v>
      </c>
      <c r="E5" s="276" t="n">
        <v>20</v>
      </c>
      <c r="F5" s="279" t="n">
        <v>1</v>
      </c>
      <c r="G5" s="279" t="n">
        <v>3</v>
      </c>
      <c r="H5" s="279" t="n">
        <v>3</v>
      </c>
      <c r="I5" s="288">
        <f>IFERROR(ROUND(AVERAGE(Tabel26[[#This Row],[Demonteerbaarheid]],Tabel26[[#This Row],[Materiaalconditie ]],Tabel26[[#This Row],[Marktpotentie ]])/5,2),0)</f>
        <v/>
      </c>
      <c r="J5" s="287">
        <f>IF(I5="","Handmatig beoordelen",IF(I5&gt;=0.8,"Hergebruik",IF(I5&gt;=0.55,"Hergebruik &gt; recycling",IF(I5&gt;=0.3,"Recycling","Handmatig beoordelen"))))</f>
        <v/>
      </c>
      <c r="K5" s="287">
        <f>IF(Tabel26[[#This Row],[Routeadvies]]="Hergebruik","&gt;= 0,8",IF(Tabel26[[#This Row],[Routeadvies]]="Hergebruik &gt; recycling","&gt;= 0,55 en &lt; 0,8",IF(Tabel26[[#This Row],[Routeadvies]]="Recycling","&gt;= 0,3 en &lt; 0,55",IF(Tabel26[[#This Row],[Routeadvies]]="Handmatig beoordelen","&lt; 0,3 of geen score",""))))</f>
        <v/>
      </c>
      <c r="L5" s="286">
        <f>IF($B5="Totaal","Totaal",IF($A5="Hout",IF(OR($B5="Trappen",$B5="Ramen",$B5="Deuren",$B5="Kozijnen",$B5="Dakkapellen",$B5="Dakconstructie"),"Bijzonder hout",IF($G5="","Handmatig beoordelen",IF($G5&gt;=4,"A-hout",IF($G5&gt;=3,"B-hout",IF($G5&gt;0,"C-hout","Handmatig beoordelen"))))),IF($A5="Staal",IF(OR($B5="Kolommen",$B5="Balken",$B5="Liggers",$B5="Buisstaalconstructies",$B5="Kozijnen",$B5="Trappen",$B5="Hekwerken",$B5="Leuningen"),"Bijzonder staal",IF($G5="","Handmatig beoordelen",IF($G5&gt;=4,"A-staal",IF($G5&gt;=2,"B-staal",IF($G5&gt;0,"C-staal","Handmatig beoordelen"))))),IF($A5="Beton",IF(OR($B5="Funderingen",$B5="Heipalen",$B5="Prefab elementen",$B5="Kanaalplaatvloeren",$B5="Breedplaatvloeren",$B5="Trappen",$B5="Gevelpanelen"),"Bijzonder beton",IF($G5="","Handmatig beoordelen",IF($G5&gt;=4,"A-beton",IF($G5&gt;=3,"B-beton",IF($G5&gt;0,"C-beton","Handmatig beoordelen"))))),IF(OR($A5="Aluminium",$A5="Alumiunium"),IF(OR($B5="Ramen",$B5="Deuren",$B5="Kozijnen",$B5="Vliesgevels",$B5="Gevelsystemen",$B5="Zonwering",$B5="Trappen"),"Bijzonder aluminium",IF($G5="","Handmatig beoordelen",IF($G5&gt;=4,"A-aluminium",IF($G5&gt;=3,"B-aluminium",IF($G5&gt;0,"C-aluminium","Handmatig beoordelen"))))),IF($A5="Koper",IF(OR($B5="Installaties",$B5="Technische ruimte",$B5="Verdeelkast",$B5="Meterkast",$B5="Bliksemafleiding",$B5="Leidingnetten"),"Bijzonder koper",IF($G5="","Handmatig beoordelen",IF($G5&gt;=4,"A-koper",IF($G5&gt;=3,"B-koper",IF($G5&gt;0,"C-koper","Handmatig beoordelen"))))),IF($A5="Bitumen",IF(OR($B5="Dakopbouw",$B5="Groendak",$B5="Opstanden",$B5="Kimmen",$B5="Aansluitdetails",$B5="Dakdetails"),"Bijzonder bitumen",IF($G5="","Handmatig beoordelen",IF($G5&gt;=4,"A-bitumen",IF($G5&gt;=3,"B-bitumen",IF($G5&gt;0,"C-bitumen","Handmatig beoordelen"))))),"Handmatig beoordelen")))))))</f>
        <v/>
      </c>
      <c r="M5" s="330">
        <f>IFERROR(Tabel26[[#This Row],[BIM-volume m³]]*INDEX(Tabel113[CO2-nieuw (kg)],1)+Tabel26[[#This Row],[BIM-volume m³]]*INDEX(Tabel113[Transport-impact ],1)*IF(Tabel26[[#This Row],[Transportafstand (km)]]="",0,Tabel26[[#This Row],[Transportafstand (km)]]),0)</f>
        <v/>
      </c>
      <c r="N5" s="331">
        <f>IF(Tabel26[[#This Row],[Klasse]]="Totaal",SUM(M6:M14),IFERROR(Tabel26[[#This Row],[BIM-volume m³]]*INDEX(Tabel113[CO2-Hergebruik (kg)],1)+Tabel26[[#This Row],[BIM-volume m³]]*INDEX(Tabel113[Transport-impact ],1)*IF(Tabel26[[#This Row],[Transportafstand (km)]]="",0,Tabel26[[#This Row],[Transportafstand (km)]]),0))</f>
        <v/>
      </c>
      <c r="O5" s="172">
        <f>IFERROR(Tabel26[[#This Row],[BIM-volume m³]]*INDEX(Tabel113[CO2- recycle (kg)],1)+Tabel26[[#This Row],[BIM-volume m³]]*Tabel26[[#This Row],[Transport Impact]]*IF(Tabel26[[#This Row],[Transportafstand (km)]]="",0,Tabel26[[#This Row],[Transportafstand (km)]]),0)</f>
        <v/>
      </c>
      <c r="P5" s="390">
        <f>IF($B12="Totaal",SUM($O$10),IFERROR(MAX(0,$M5-MIN($N5,$O5)),0))</f>
        <v/>
      </c>
      <c r="Q5" s="289">
        <f>IF(OR($M5="",$M5=0),"Geen beoordeling",IF(AND($N5=0,$O5=0),"Geen beoordeling",IF($N5&lt;$O5,"Hergebruik",IF($O5&lt;$N5,"Recycling","Hergebruik en recycling gelijk"))))</f>
        <v/>
      </c>
      <c r="R5" s="286">
        <f>IFERROR(Tabel26[[#This Row],[BIM-volume m³]]*Tabel26[[#This Row],[PRR]],0)</f>
        <v/>
      </c>
      <c r="S5" s="391">
        <f>IFERROR(VLOOKUP(Tabel26[[#This Row],[Klasse]],Hout!$A$12:$D$15,4,FALSE),0)</f>
        <v/>
      </c>
      <c r="T5" s="392">
        <f>R5*S5</f>
        <v/>
      </c>
      <c r="U5" s="287">
        <f>IF(OR($L5="Handmatig beoordelen",$L5="",$L5="Totaal",$I5=""),"Handmatig",IF($I5&gt;=50%,"Ja","Nee"))</f>
        <v/>
      </c>
      <c r="V5" s="287">
        <f>IF(OR($L5="Handmatig beoordelen",$L5="",$L5="Totaal"),"Handmatig",IF($P5&gt;0,"Ja","Nee"))</f>
        <v/>
      </c>
      <c r="W5" s="287">
        <f>IF(OR($L5="Handmatig beoordelen",$L5="",$L5="Totaal"),"Handmatig",IF($T5&gt;0,"Ja","Nee"))</f>
        <v/>
      </c>
      <c r="X5" s="333">
        <f>IF(OR($U5="Handmatig",$V5="Handmatig",$W5="Handmatig"),"Handmatig beoordelen",IF(COUNTIF($U5:$W5,"Ja")&gt;=2,"Interessant",IF(COUNTIF($U5:$W5,"Ja")=1,"Eigen beoordeling","Niet interessant")))</f>
        <v/>
      </c>
      <c r="Y5" s="307" t="n"/>
      <c r="Z5" s="361" t="n"/>
      <c r="AA5" s="360" t="n"/>
      <c r="AB5" s="362" t="n"/>
      <c r="AC5" s="361" t="n"/>
      <c r="AD5" s="360" t="n"/>
      <c r="AE5" s="360" t="n"/>
      <c r="AF5" s="394" t="n"/>
      <c r="AG5" s="301" t="n"/>
      <c r="AH5" s="301" t="n"/>
      <c r="AI5" s="301" t="n"/>
    </row>
    <row r="6">
      <c r="A6" s="337" t="inlineStr">
        <is>
          <t>Hout</t>
        </is>
      </c>
      <c r="B6" s="285" t="inlineStr">
        <is>
          <t>Gevelpanelen</t>
        </is>
      </c>
      <c r="C6" s="277">
        <f>'Hout-data'!B5</f>
        <v/>
      </c>
      <c r="D6" s="277" t="n">
        <v>2</v>
      </c>
      <c r="E6" s="276" t="n">
        <v>20</v>
      </c>
      <c r="F6" s="279" t="n">
        <v>5</v>
      </c>
      <c r="G6" s="279" t="n">
        <v>4</v>
      </c>
      <c r="H6" s="279" t="n">
        <v>2</v>
      </c>
      <c r="I6" s="288">
        <f>IFERROR(ROUND(AVERAGE(Tabel26[[#This Row],[Demonteerbaarheid]],Tabel26[[#This Row],[Materiaalconditie ]],Tabel26[[#This Row],[Marktpotentie ]])/5,2),0)</f>
        <v/>
      </c>
      <c r="J6" s="287">
        <f>IF(I6="","Handmatig beoordelen",IF(I6&gt;=0.8,"Hergebruik",IF(I6&gt;=0.55,"Hergebruik &gt; recycling",IF(I6&gt;=0.3,"Recycling","Handmatig beoordelen"))))</f>
        <v/>
      </c>
      <c r="K6" s="287">
        <f>IF(Tabel26[[#This Row],[Routeadvies]]="Hergebruik","&gt;= 0,8",IF(Tabel26[[#This Row],[Routeadvies]]="Hergebruik &gt; recycling","&gt;= 0,55 en &lt; 0,8",IF(Tabel26[[#This Row],[Routeadvies]]="Recycling","&gt;= 0,3 en &lt; 0,55",IF(Tabel26[[#This Row],[Routeadvies]]="Handmatig beoordelen","&lt; 0,3 of geen score",""))))</f>
        <v/>
      </c>
      <c r="L6" s="286">
        <f>IF($B6="Totaal","Totaal",IF($A6="Hout",IF(OR($B6="Trappen",$B6="Ramen",$B6="Deuren",$B6="Kozijnen",$B6="Dakkapellen",$B6="Dakconstructie"),"Bijzonder hout",IF($G6="","Handmatig beoordelen",IF($G6&gt;=4,"A-hout",IF($G6&gt;=3,"B-hout",IF($G6&gt;0,"C-hout","Handmatig beoordelen"))))),IF($A6="Staal",IF(OR($B6="Kolommen",$B6="Balken",$B6="Liggers",$B6="Buisstaalconstructies",$B6="Kozijnen",$B6="Trappen",$B6="Hekwerken",$B6="Leuningen"),"Bijzonder staal",IF($G6="","Handmatig beoordelen",IF($G6&gt;=4,"A-staal",IF($G6&gt;=2,"B-staal",IF($G6&gt;0,"C-staal","Handmatig beoordelen"))))),IF($A6="Beton",IF(OR($B6="Funderingen",$B6="Heipalen",$B6="Prefab elementen",$B6="Kanaalplaatvloeren",$B6="Breedplaatvloeren",$B6="Trappen",$B6="Gevelpanelen"),"Bijzonder beton",IF($G6="","Handmatig beoordelen",IF($G6&gt;=4,"A-beton",IF($G6&gt;=3,"B-beton",IF($G6&gt;0,"C-beton","Handmatig beoordelen"))))),IF(OR($A6="Aluminium",$A6="Alumiunium"),IF(OR($B6="Ramen",$B6="Deuren",$B6="Kozijnen",$B6="Vliesgevels",$B6="Gevelsystemen",$B6="Zonwering",$B6="Trappen"),"Bijzonder aluminium",IF($G6="","Handmatig beoordelen",IF($G6&gt;=4,"A-aluminium",IF($G6&gt;=3,"B-aluminium",IF($G6&gt;0,"C-aluminium","Handmatig beoordelen"))))),IF($A6="Koper",IF(OR($B6="Installaties",$B6="Technische ruimte",$B6="Verdeelkast",$B6="Meterkast",$B6="Bliksemafleiding",$B6="Leidingnetten"),"Bijzonder koper",IF($G6="","Handmatig beoordelen",IF($G6&gt;=4,"A-koper",IF($G6&gt;=3,"B-koper",IF($G6&gt;0,"C-koper","Handmatig beoordelen"))))),IF($A6="Bitumen",IF(OR($B6="Dakopbouw",$B6="Groendak",$B6="Opstanden",$B6="Kimmen",$B6="Aansluitdetails",$B6="Dakdetails"),"Bijzonder bitumen",IF($G6="","Handmatig beoordelen",IF($G6&gt;=4,"A-bitumen",IF($G6&gt;=3,"B-bitumen",IF($G6&gt;0,"C-bitumen","Handmatig beoordelen"))))),"Handmatig beoordelen")))))))</f>
        <v/>
      </c>
      <c r="M6" s="330">
        <f>IFERROR(Tabel26[[#This Row],[BIM-volume m³]]*INDEX(Tabel113[CO2-nieuw (kg)],1)+Tabel26[[#This Row],[BIM-volume m³]]*INDEX(Tabel113[Transport-impact ],1)*IF(Tabel26[[#This Row],[Transportafstand (km)]]="",0,Tabel26[[#This Row],[Transportafstand (km)]]),0)</f>
        <v/>
      </c>
      <c r="N6" s="331">
        <f>IF(Tabel26[[#This Row],[Klasse]]="Totaal",SUM(M7:M15),IFERROR(Tabel26[[#This Row],[BIM-volume m³]]*INDEX(Tabel113[CO2-Hergebruik (kg)],1)+Tabel26[[#This Row],[BIM-volume m³]]*INDEX(Tabel113[Transport-impact ],1)*IF(Tabel26[[#This Row],[Transportafstand (km)]]="",0,Tabel26[[#This Row],[Transportafstand (km)]]),0))</f>
        <v/>
      </c>
      <c r="O6" s="172">
        <f>IFERROR(Tabel26[[#This Row],[BIM-volume m³]]*INDEX(Tabel113[CO2- recycle (kg)],1)+Tabel26[[#This Row],[BIM-volume m³]]*Tabel26[[#This Row],[Transport Impact]]*IF(Tabel26[[#This Row],[Transportafstand (km)]]="",0,Tabel26[[#This Row],[Transportafstand (km)]]),0)</f>
        <v/>
      </c>
      <c r="P6" s="390">
        <f>IF($B13="Totaal",SUM($O$10),IFERROR(MAX(0,$M6-MIN($N6,$O6)),0))</f>
        <v/>
      </c>
      <c r="Q6" s="289">
        <f>IF(OR($M6="",$M6=0),"Geen beoordeling",IF(AND($N6=0,$O6=0),"Geen beoordeling",IF($N6&lt;$O6,"Hergebruik",IF($O6&lt;$N6,"Recycling","Hergebruik en recycling gelijk"))))</f>
        <v/>
      </c>
      <c r="R6" s="286">
        <f>IFERROR(Tabel26[[#This Row],[BIM-volume m³]]*Tabel26[[#This Row],[PRR]],0)</f>
        <v/>
      </c>
      <c r="S6" s="391">
        <f>IFERROR(VLOOKUP(Tabel26[[#This Row],[Klasse]],Hout!$A$12:$D$15,4,FALSE),0)</f>
        <v/>
      </c>
      <c r="T6" s="392">
        <f>R6*S6</f>
        <v/>
      </c>
      <c r="U6" s="287">
        <f>IF(OR($L6="Handmatig beoordelen",$L6="",$L6="Totaal",$I6=""),"Handmatig",IF($I6&gt;=50%,"Ja","Nee"))</f>
        <v/>
      </c>
      <c r="V6" s="287">
        <f>IF(OR($L6="Handmatig beoordelen",$L6="",$L6="Totaal"),"Handmatig",IF($P6&gt;0,"Ja","Nee"))</f>
        <v/>
      </c>
      <c r="W6" s="287">
        <f>IF(OR($L6="Handmatig beoordelen",$L6="",$L6="Totaal"),"Handmatig",IF($T6&gt;0,"Ja","Nee"))</f>
        <v/>
      </c>
      <c r="X6" s="333">
        <f>IF(OR($U6="Handmatig",$V6="Handmatig",$W6="Handmatig"),"Handmatig beoordelen",IF(COUNTIF($U6:$W6,"Ja")&gt;=2,"Interessant",IF(COUNTIF($U6:$W6,"Ja")=1,"Eigen beoordeling","Niet interessant")))</f>
        <v/>
      </c>
      <c r="Y6" s="307" t="n"/>
      <c r="Z6" s="361" t="n"/>
      <c r="AA6" s="394" t="n"/>
      <c r="AB6" s="362" t="n"/>
      <c r="AC6" s="361" t="n"/>
      <c r="AD6" s="360" t="n"/>
      <c r="AE6" s="360" t="n"/>
      <c r="AF6" s="394" t="n"/>
      <c r="AG6" s="301" t="n"/>
      <c r="AH6" s="301" t="n"/>
      <c r="AI6" s="301" t="n"/>
    </row>
    <row r="7">
      <c r="A7" s="337" t="inlineStr">
        <is>
          <t>Hout</t>
        </is>
      </c>
      <c r="B7" s="285" t="inlineStr">
        <is>
          <t>Deuren</t>
        </is>
      </c>
      <c r="C7" s="277">
        <f>'Hout-data'!B6</f>
        <v/>
      </c>
      <c r="D7" s="277" t="n">
        <v>2</v>
      </c>
      <c r="E7" s="276" t="n">
        <v>20</v>
      </c>
      <c r="F7" s="279" t="n">
        <v>5</v>
      </c>
      <c r="G7" s="279" t="n">
        <v>3</v>
      </c>
      <c r="H7" s="279" t="n">
        <v>3</v>
      </c>
      <c r="I7" s="288">
        <f>IFERROR(ROUND(AVERAGE(Tabel26[[#This Row],[Demonteerbaarheid]],Tabel26[[#This Row],[Materiaalconditie ]],Tabel26[[#This Row],[Marktpotentie ]])/5,2),0)</f>
        <v/>
      </c>
      <c r="J7" s="287">
        <f>IF(I7="","Handmatig beoordelen",IF(I7&gt;=0.8,"Hergebruik",IF(I7&gt;=0.55,"Hergebruik &gt; recycling",IF(I7&gt;=0.3,"Recycling","Handmatig beoordelen"))))</f>
        <v/>
      </c>
      <c r="K7" s="287">
        <f>IF(Tabel26[[#This Row],[Routeadvies]]="Hergebruik","&gt;= 0,8",IF(Tabel26[[#This Row],[Routeadvies]]="Hergebruik &gt; recycling","&gt;= 0,55 en &lt; 0,8",IF(Tabel26[[#This Row],[Routeadvies]]="Recycling","&gt;= 0,3 en &lt; 0,55",IF(Tabel26[[#This Row],[Routeadvies]]="Handmatig beoordelen","&lt; 0,3 of geen score",""))))</f>
        <v/>
      </c>
      <c r="L7" s="286">
        <f>IF($B7="Totaal","Totaal",IF($A7="Hout",IF(OR($B7="Trappen",$B7="Ramen",$B7="Deuren",$B7="Kozijnen",$B7="Dakkapellen",$B7="Dakconstructie"),"Bijzonder hout",IF($G7="","Handmatig beoordelen",IF($G7&gt;=4,"A-hout",IF($G7&gt;=3,"B-hout",IF($G7&gt;0,"C-hout","Handmatig beoordelen"))))),IF($A7="Staal",IF(OR($B7="Kolommen",$B7="Balken",$B7="Liggers",$B7="Buisstaalconstructies",$B7="Kozijnen",$B7="Trappen",$B7="Hekwerken",$B7="Leuningen"),"Bijzonder staal",IF($G7="","Handmatig beoordelen",IF($G7&gt;=4,"A-staal",IF($G7&gt;=2,"B-staal",IF($G7&gt;0,"C-staal","Handmatig beoordelen"))))),IF($A7="Beton",IF(OR($B7="Funderingen",$B7="Heipalen",$B7="Prefab elementen",$B7="Kanaalplaatvloeren",$B7="Breedplaatvloeren",$B7="Trappen",$B7="Gevelpanelen"),"Bijzonder beton",IF($G7="","Handmatig beoordelen",IF($G7&gt;=4,"A-beton",IF($G7&gt;=3,"B-beton",IF($G7&gt;0,"C-beton","Handmatig beoordelen"))))),IF(OR($A7="Aluminium",$A7="Alumiunium"),IF(OR($B7="Ramen",$B7="Deuren",$B7="Kozijnen",$B7="Vliesgevels",$B7="Gevelsystemen",$B7="Zonwering",$B7="Trappen"),"Bijzonder aluminium",IF($G7="","Handmatig beoordelen",IF($G7&gt;=4,"A-aluminium",IF($G7&gt;=3,"B-aluminium",IF($G7&gt;0,"C-aluminium","Handmatig beoordelen"))))),IF($A7="Koper",IF(OR($B7="Installaties",$B7="Technische ruimte",$B7="Verdeelkast",$B7="Meterkast",$B7="Bliksemafleiding",$B7="Leidingnetten"),"Bijzonder koper",IF($G7="","Handmatig beoordelen",IF($G7&gt;=4,"A-koper",IF($G7&gt;=3,"B-koper",IF($G7&gt;0,"C-koper","Handmatig beoordelen"))))),IF($A7="Bitumen",IF(OR($B7="Dakopbouw",$B7="Groendak",$B7="Opstanden",$B7="Kimmen",$B7="Aansluitdetails",$B7="Dakdetails"),"Bijzonder bitumen",IF($G7="","Handmatig beoordelen",IF($G7&gt;=4,"A-bitumen",IF($G7&gt;=3,"B-bitumen",IF($G7&gt;0,"C-bitumen","Handmatig beoordelen"))))),"Handmatig beoordelen")))))))</f>
        <v/>
      </c>
      <c r="M7" s="330">
        <f>IFERROR(Tabel26[[#This Row],[BIM-volume m³]]*INDEX(Tabel113[CO2-nieuw (kg)],1)+Tabel26[[#This Row],[BIM-volume m³]]*INDEX(Tabel113[Transport-impact ],1)*IF(Tabel26[[#This Row],[Transportafstand (km)]]="",0,Tabel26[[#This Row],[Transportafstand (km)]]),0)</f>
        <v/>
      </c>
      <c r="N7" s="331">
        <f>IF(Tabel26[[#This Row],[Klasse]]="Totaal",SUM(M8:M16),IFERROR(Tabel26[[#This Row],[BIM-volume m³]]*INDEX(Tabel113[CO2-Hergebruik (kg)],1)+Tabel26[[#This Row],[BIM-volume m³]]*INDEX(Tabel113[Transport-impact ],1)*IF(Tabel26[[#This Row],[Transportafstand (km)]]="",0,Tabel26[[#This Row],[Transportafstand (km)]]),0))</f>
        <v/>
      </c>
      <c r="O7" s="172">
        <f>IFERROR(Tabel26[[#This Row],[BIM-volume m³]]*INDEX(Tabel113[CO2- recycle (kg)],1)+Tabel26[[#This Row],[BIM-volume m³]]*Tabel26[[#This Row],[Transport Impact]]*IF(Tabel26[[#This Row],[Transportafstand (km)]]="",0,Tabel26[[#This Row],[Transportafstand (km)]]),0)</f>
        <v/>
      </c>
      <c r="P7" s="390">
        <f>IF($B14="Totaal",SUM($O$10),IFERROR(MAX(0,$M7-MIN($N7,$O7)),0))</f>
        <v/>
      </c>
      <c r="Q7" s="289">
        <f>IF(OR($M7="",$M7=0),"Geen beoordeling",IF(AND($N7=0,$O7=0),"Geen beoordeling",IF($N7&lt;$O7,"Hergebruik",IF($O7&lt;$N7,"Recycling","Hergebruik en recycling gelijk"))))</f>
        <v/>
      </c>
      <c r="R7" s="286">
        <f>IFERROR(Tabel26[[#This Row],[BIM-volume m³]]*Tabel26[[#This Row],[PRR]],0)</f>
        <v/>
      </c>
      <c r="S7" s="391">
        <f>IFERROR(VLOOKUP(Tabel26[[#This Row],[Klasse]],Hout!$A$12:$D$15,4,FALSE),0)</f>
        <v/>
      </c>
      <c r="T7" s="392">
        <f>R7*S7</f>
        <v/>
      </c>
      <c r="U7" s="287">
        <f>IF(OR($L7="Handmatig beoordelen",$L7="",$L7="Totaal",$I7=""),"Handmatig",IF($I7&gt;=50%,"Ja","Nee"))</f>
        <v/>
      </c>
      <c r="V7" s="287">
        <f>IF(OR($L7="Handmatig beoordelen",$L7="",$L7="Totaal"),"Handmatig",IF($P7&gt;0,"Ja","Nee"))</f>
        <v/>
      </c>
      <c r="W7" s="287">
        <f>IF(OR($L7="Handmatig beoordelen",$L7="",$L7="Totaal"),"Handmatig",IF($T7&gt;0,"Ja","Nee"))</f>
        <v/>
      </c>
      <c r="X7" s="333">
        <f>IF(OR($U7="Handmatig",$V7="Handmatig",$W7="Handmatig"),"Handmatig beoordelen",IF(COUNTIF($U7:$W7,"Ja")&gt;=2,"Interessant",IF(COUNTIF($U7:$W7,"Ja")=1,"Eigen beoordeling","Niet interessant")))</f>
        <v/>
      </c>
      <c r="Y7" s="307" t="n"/>
      <c r="Z7" s="361" t="n"/>
      <c r="AA7" s="394" t="n"/>
      <c r="AB7" s="362" t="n"/>
      <c r="AC7" s="361" t="n"/>
      <c r="AD7" s="360" t="n"/>
      <c r="AE7" s="360" t="n"/>
      <c r="AF7" s="394" t="n"/>
      <c r="AG7" s="301" t="n"/>
      <c r="AH7" s="301" t="n"/>
      <c r="AI7" s="301" t="n"/>
    </row>
    <row r="8">
      <c r="A8" s="337" t="inlineStr">
        <is>
          <t>Hout</t>
        </is>
      </c>
      <c r="B8" s="285" t="inlineStr">
        <is>
          <t>Vloeren</t>
        </is>
      </c>
      <c r="C8" s="277">
        <f>'Hout-data'!B7</f>
        <v/>
      </c>
      <c r="D8" s="277" t="n">
        <v>2</v>
      </c>
      <c r="E8" s="276" t="n">
        <v>20</v>
      </c>
      <c r="F8" s="279" t="n">
        <v>1</v>
      </c>
      <c r="G8" s="279" t="n">
        <v>3</v>
      </c>
      <c r="H8" s="279" t="n">
        <v>2</v>
      </c>
      <c r="I8" s="288">
        <f>IFERROR(ROUND(AVERAGE(Tabel26[[#This Row],[Demonteerbaarheid]],Tabel26[[#This Row],[Materiaalconditie ]],Tabel26[[#This Row],[Marktpotentie ]])/5,2),0)</f>
        <v/>
      </c>
      <c r="J8" s="287">
        <f>IF(I8="","Handmatig beoordelen",IF(I8&gt;=0.8,"Hergebruik",IF(I8&gt;=0.55,"Hergebruik &gt; recycling",IF(I8&gt;=0.3,"Recycling","Handmatig beoordelen"))))</f>
        <v/>
      </c>
      <c r="K8" s="287">
        <f>IF(Tabel26[[#This Row],[Routeadvies]]="Hergebruik","&gt;= 0,8",IF(Tabel26[[#This Row],[Routeadvies]]="Hergebruik &gt; recycling","&gt;= 0,55 en &lt; 0,8",IF(Tabel26[[#This Row],[Routeadvies]]="Recycling","&gt;= 0,3 en &lt; 0,55",IF(Tabel26[[#This Row],[Routeadvies]]="Handmatig beoordelen","&lt; 0,3 of geen score",""))))</f>
        <v/>
      </c>
      <c r="L8" s="286">
        <f>IF($B8="Totaal","Totaal",IF($A8="Hout",IF(OR($B8="Trappen",$B8="Ramen",$B8="Deuren",$B8="Kozijnen",$B8="Dakkapellen",$B8="Dakconstructie"),"Bijzonder hout",IF($G8="","Handmatig beoordelen",IF($G8&gt;=4,"A-hout",IF($G8&gt;=3,"B-hout",IF($G8&gt;0,"C-hout","Handmatig beoordelen"))))),IF($A8="Staal",IF(OR($B8="Kolommen",$B8="Balken",$B8="Liggers",$B8="Buisstaalconstructies",$B8="Kozijnen",$B8="Trappen",$B8="Hekwerken",$B8="Leuningen"),"Bijzonder staal",IF($G8="","Handmatig beoordelen",IF($G8&gt;=4,"A-staal",IF($G8&gt;=2,"B-staal",IF($G8&gt;0,"C-staal","Handmatig beoordelen"))))),IF($A8="Beton",IF(OR($B8="Funderingen",$B8="Heipalen",$B8="Prefab elementen",$B8="Kanaalplaatvloeren",$B8="Breedplaatvloeren",$B8="Trappen",$B8="Gevelpanelen"),"Bijzonder beton",IF($G8="","Handmatig beoordelen",IF($G8&gt;=4,"A-beton",IF($G8&gt;=3,"B-beton",IF($G8&gt;0,"C-beton","Handmatig beoordelen"))))),IF(OR($A8="Aluminium",$A8="Alumiunium"),IF(OR($B8="Ramen",$B8="Deuren",$B8="Kozijnen",$B8="Vliesgevels",$B8="Gevelsystemen",$B8="Zonwering",$B8="Trappen"),"Bijzonder aluminium",IF($G8="","Handmatig beoordelen",IF($G8&gt;=4,"A-aluminium",IF($G8&gt;=3,"B-aluminium",IF($G8&gt;0,"C-aluminium","Handmatig beoordelen"))))),IF($A8="Koper",IF(OR($B8="Installaties",$B8="Technische ruimte",$B8="Verdeelkast",$B8="Meterkast",$B8="Bliksemafleiding",$B8="Leidingnetten"),"Bijzonder koper",IF($G8="","Handmatig beoordelen",IF($G8&gt;=4,"A-koper",IF($G8&gt;=3,"B-koper",IF($G8&gt;0,"C-koper","Handmatig beoordelen"))))),IF($A8="Bitumen",IF(OR($B8="Dakopbouw",$B8="Groendak",$B8="Opstanden",$B8="Kimmen",$B8="Aansluitdetails",$B8="Dakdetails"),"Bijzonder bitumen",IF($G8="","Handmatig beoordelen",IF($G8&gt;=4,"A-bitumen",IF($G8&gt;=3,"B-bitumen",IF($G8&gt;0,"C-bitumen","Handmatig beoordelen"))))),"Handmatig beoordelen")))))))</f>
        <v/>
      </c>
      <c r="M8" s="330">
        <f>IFERROR(Tabel26[[#This Row],[BIM-volume m³]]*INDEX(Tabel113[CO2-nieuw (kg)],1)+Tabel26[[#This Row],[BIM-volume m³]]*Tabel26[[#This Row],[Transport Impact]]*IF(Tabel26[[#This Row],[Transportafstand (km)]]="",0,Tabel26[[#This Row],[Transportafstand (km)]]),0)</f>
        <v/>
      </c>
      <c r="N8" s="395">
        <f>IF(Tabel26[[#This Row],[Klasse]]="Totaal",SUM(M9:M17),IFERROR(Tabel26[[#This Row],[BIM-volume m³]]*INDEX(Tabel113[CO2-Hergebruik (kg)],1)+Tabel26[[#This Row],[BIM-volume m³]]*INDEX(Tabel113[Transport-impact ],1)*IF(Tabel26[[#This Row],[Transportafstand (km)]]="",0,Tabel26[[#This Row],[Transportafstand (km)]]),0))</f>
        <v/>
      </c>
      <c r="O8" s="172">
        <f>IFERROR(Tabel26[[#This Row],[BIM-volume m³]]*INDEX(Tabel113[CO2- recycle (kg)],1)+Tabel26[[#This Row],[BIM-volume m³]]*Tabel26[[#This Row],[Transport Impact]]*IF(Tabel26[[#This Row],[Transportafstand (km)]]="",0,Tabel26[[#This Row],[Transportafstand (km)]]),0)</f>
        <v/>
      </c>
      <c r="P8" s="57">
        <f>IF(Q8="hergebruik",M8-N8,IF(Q8="recycling",O8-N8,""))</f>
        <v/>
      </c>
      <c r="Q8" s="289">
        <f>IF(OR($M8="",$M8=0),"Geen beoordeling",IF(AND($N8=0,$O8=0),"Geen beoordeling",IF($N8&lt;$O8,"Hergebruik",IF($O8&lt;$N8,"Recycling","Hergebruik en recycling gelijk"))))</f>
        <v/>
      </c>
      <c r="R8" s="286">
        <f>IFERROR(Tabel26[[#This Row],[BIM-volume m³]]*Tabel26[[#This Row],[PRR]],0)</f>
        <v/>
      </c>
      <c r="S8" s="391">
        <f>IFERROR(VLOOKUP(Tabel26[[#This Row],[Klasse]],Hout!$A$12:$D$15,4,FALSE),0)</f>
        <v/>
      </c>
      <c r="T8" s="392">
        <f>R8*S8</f>
        <v/>
      </c>
      <c r="U8" s="287">
        <f>IF(OR($L8="Handmatig beoordelen",$L8="",$L8="Totaal",$I8=""),"Handmatig",IF($I8&gt;=50%,"Ja","Nee"))</f>
        <v/>
      </c>
      <c r="V8" s="287">
        <f>IF(OR($L8="Handmatig beoordelen",$L8="",$L8="Totaal"),"Handmatig",IF($P8&gt;0,"Ja","Nee"))</f>
        <v/>
      </c>
      <c r="W8" s="287">
        <f>IF(OR($L8="Handmatig beoordelen",$L8="",$L8="Totaal"),"Handmatig",IF($T8&gt;0,"Ja","Nee"))</f>
        <v/>
      </c>
      <c r="X8" s="333">
        <f>IF(OR($U8="Handmatig",$V8="Handmatig",$W8="Handmatig"),"Handmatig beoordelen",IF(COUNTIF($U8:$W8,"Ja")&gt;=2,"Interessant",IF(COUNTIF($U8:$W8,"Ja")=1,"Eigen beoordeling","Niet interessant")))</f>
        <v/>
      </c>
      <c r="Y8" s="307" t="n"/>
      <c r="Z8" s="361" t="n"/>
      <c r="AA8" s="361" t="n"/>
      <c r="AB8" s="362" t="n"/>
      <c r="AC8" s="361" t="n"/>
      <c r="AD8" s="360" t="n"/>
      <c r="AE8" s="360" t="n"/>
      <c r="AF8" s="394" t="n"/>
      <c r="AG8" s="301" t="n"/>
      <c r="AH8" s="301" t="n"/>
      <c r="AI8" s="301" t="n"/>
    </row>
    <row r="9">
      <c r="A9" s="337" t="inlineStr">
        <is>
          <t>Hout</t>
        </is>
      </c>
      <c r="B9" s="285" t="inlineStr">
        <is>
          <t>Daken</t>
        </is>
      </c>
      <c r="C9" s="277">
        <f>'Hout-data'!B8</f>
        <v/>
      </c>
      <c r="D9" s="277" t="n">
        <v>2</v>
      </c>
      <c r="E9" s="276" t="n">
        <v>20</v>
      </c>
      <c r="F9" s="279" t="n">
        <v>5</v>
      </c>
      <c r="G9" s="279" t="n">
        <v>3</v>
      </c>
      <c r="H9" s="279" t="n">
        <v>2</v>
      </c>
      <c r="I9" s="288">
        <f>IFERROR(ROUND(AVERAGE(Tabel26[[#This Row],[Demonteerbaarheid]],Tabel26[[#This Row],[Materiaalconditie ]],Tabel26[[#This Row],[Marktpotentie ]])/5,2),0)</f>
        <v/>
      </c>
      <c r="J9" s="287">
        <f>IF(I9="","Handmatig beoordelen",IF(I9&gt;=0.8,"Hergebruik",IF(I9&gt;=0.55,"Hergebruik &gt; recycling",IF(I9&gt;=0.3,"Recycling","Handmatig beoordelen"))))</f>
        <v/>
      </c>
      <c r="K9" s="287">
        <f>IF(Tabel26[[#This Row],[Routeadvies]]="Hergebruik","&gt;= 0,8",IF(Tabel26[[#This Row],[Routeadvies]]="Hergebruik &gt; recycling","&gt;= 0,55 en &lt; 0,8",IF(Tabel26[[#This Row],[Routeadvies]]="Recycling","&gt;= 0,3 en &lt; 0,55",IF(Tabel26[[#This Row],[Routeadvies]]="Handmatig beoordelen","&lt; 0,3 of geen score",""))))</f>
        <v/>
      </c>
      <c r="L9" s="286">
        <f>IF($B9="Totaal","Totaal",IF($A9="Hout",IF(OR($B9="Trappen",$B9="Ramen",$B9="Deuren",$B9="Kozijnen",$B9="Dakkapellen",$B9="Dakconstructie"),"Bijzonder hout",IF($G9="","Handmatig beoordelen",IF($G9&gt;=4,"A-hout",IF($G9&gt;=3,"B-hout",IF($G9&gt;0,"C-hout","Handmatig beoordelen"))))),IF($A9="Staal",IF(OR($B9="Kolommen",$B9="Balken",$B9="Liggers",$B9="Buisstaalconstructies",$B9="Kozijnen",$B9="Trappen",$B9="Hekwerken",$B9="Leuningen"),"Bijzonder staal",IF($G9="","Handmatig beoordelen",IF($G9&gt;=4,"A-staal",IF($G9&gt;=2,"B-staal",IF($G9&gt;0,"C-staal","Handmatig beoordelen"))))),IF($A9="Beton",IF(OR($B9="Funderingen",$B9="Heipalen",$B9="Prefab elementen",$B9="Kanaalplaatvloeren",$B9="Breedplaatvloeren",$B9="Trappen",$B9="Gevelpanelen"),"Bijzonder beton",IF($G9="","Handmatig beoordelen",IF($G9&gt;=4,"A-beton",IF($G9&gt;=3,"B-beton",IF($G9&gt;0,"C-beton","Handmatig beoordelen"))))),IF(OR($A9="Aluminium",$A9="Alumiunium"),IF(OR($B9="Ramen",$B9="Deuren",$B9="Kozijnen",$B9="Vliesgevels",$B9="Gevelsystemen",$B9="Zonwering",$B9="Trappen"),"Bijzonder aluminium",IF($G9="","Handmatig beoordelen",IF($G9&gt;=4,"A-aluminium",IF($G9&gt;=3,"B-aluminium",IF($G9&gt;0,"C-aluminium","Handmatig beoordelen"))))),IF($A9="Koper",IF(OR($B9="Installaties",$B9="Technische ruimte",$B9="Verdeelkast",$B9="Meterkast",$B9="Bliksemafleiding",$B9="Leidingnetten"),"Bijzonder koper",IF($G9="","Handmatig beoordelen",IF($G9&gt;=4,"A-koper",IF($G9&gt;=3,"B-koper",IF($G9&gt;0,"C-koper","Handmatig beoordelen"))))),IF($A9="Bitumen",IF(OR($B9="Dakopbouw",$B9="Groendak",$B9="Opstanden",$B9="Kimmen",$B9="Aansluitdetails",$B9="Dakdetails"),"Bijzonder bitumen",IF($G9="","Handmatig beoordelen",IF($G9&gt;=4,"A-bitumen",IF($G9&gt;=3,"B-bitumen",IF($G9&gt;0,"C-bitumen","Handmatig beoordelen"))))),"Handmatig beoordelen")))))))</f>
        <v/>
      </c>
      <c r="M9" s="330">
        <f>IFERROR(Tabel26[[#This Row],[BIM-volume m³]]*INDEX(Tabel113[CO2-nieuw (kg)],1)+Tabel26[[#This Row],[BIM-volume m³]]*Tabel26[[#This Row],[Transport Impact]]*IF(Tabel26[[#This Row],[Transportafstand (km)]]="",0,Tabel26[[#This Row],[Transportafstand (km)]]),0)</f>
        <v/>
      </c>
      <c r="N9" s="331">
        <f>IF(Tabel26[[#This Row],[Klasse]]="Totaal",SUM(M10:M18),IFERROR(Tabel26[[#This Row],[BIM-volume m³]]*INDEX(Tabel113[CO2-Hergebruik (kg)],1)+Tabel26[[#This Row],[BIM-volume m³]]*INDEX(Tabel113[Transport-impact ],1)*IF(Tabel26[[#This Row],[Transportafstand (km)]]="",0,Tabel26[[#This Row],[Transportafstand (km)]]),0))</f>
        <v/>
      </c>
      <c r="O9" s="172">
        <f>IFERROR(Tabel26[[#This Row],[BIM-volume m³]]*INDEX(Tabel113[CO2- recycle (kg)],1)+Tabel26[[#This Row],[BIM-volume m³]]*Tabel26[[#This Row],[Transport Impact]]*IF(Tabel26[[#This Row],[Transportafstand (km)]]="",0,Tabel26[[#This Row],[Transportafstand (km)]]),0)</f>
        <v/>
      </c>
      <c r="P9" s="57">
        <f>IF(Q9="hergebruik",M9-N9,IF(Q9="recycling",O9-N9,""))</f>
        <v/>
      </c>
      <c r="Q9" s="289">
        <f>IF(OR($M9="",$M9=0),"Geen beoordeling",IF(AND($N9=0,$O9=0),"Geen beoordeling",IF($N9&lt;$O9,"Hergebruik",IF($O9&lt;$N9,"Recycling","Hergebruik en recycling gelijk"))))</f>
        <v/>
      </c>
      <c r="R9" s="286">
        <f>IFERROR(Tabel26[[#This Row],[BIM-volume m³]]*Tabel26[[#This Row],[PRR]],0)</f>
        <v/>
      </c>
      <c r="S9" s="391">
        <f>IFERROR(VLOOKUP(Tabel26[[#This Row],[Klasse]],Hout!$A$12:$D$15,4,FALSE),0)</f>
        <v/>
      </c>
      <c r="T9" s="392">
        <f>R9*S9</f>
        <v/>
      </c>
      <c r="U9" s="287">
        <f>IF(OR($L9="Handmatig beoordelen",$L9="",$L9="Totaal",$I9=""),"Handmatig",IF($I9&gt;=50%,"Ja","Nee"))</f>
        <v/>
      </c>
      <c r="V9" s="287">
        <f>IF(OR($L9="Handmatig beoordelen",$L9="",$L9="Totaal"),"Handmatig",IF($P9&gt;0,"Ja","Nee"))</f>
        <v/>
      </c>
      <c r="W9" s="287">
        <f>IF(OR($L9="Handmatig beoordelen",$L9="",$L9="Totaal"),"Handmatig",IF($T9&gt;0,"Ja","Nee"))</f>
        <v/>
      </c>
      <c r="X9" s="333">
        <f>IF(OR($U9="Handmatig",$V9="Handmatig",$W9="Handmatig"),"Handmatig beoordelen",IF(COUNTIF($U9:$W9,"Ja")&gt;=2,"Interessant",IF(COUNTIF($U9:$W9,"Ja")=1,"Eigen beoordeling","Niet interessant")))</f>
        <v/>
      </c>
      <c r="Y9" s="307" t="n"/>
      <c r="Z9" s="301" t="n"/>
      <c r="AA9" s="301" t="n"/>
      <c r="AB9" s="362" t="n"/>
      <c r="AC9" s="361" t="n"/>
      <c r="AD9" s="360" t="n"/>
      <c r="AE9" s="360" t="n"/>
      <c r="AF9" s="394" t="n"/>
      <c r="AG9" s="301" t="n"/>
      <c r="AH9" s="301" t="n"/>
      <c r="AI9" s="301" t="n"/>
    </row>
    <row r="10">
      <c r="A10" s="337" t="inlineStr">
        <is>
          <t>Hout</t>
        </is>
      </c>
      <c r="B10" s="285" t="inlineStr">
        <is>
          <t>Wanden</t>
        </is>
      </c>
      <c r="C10" s="277">
        <f>'Hout-data'!B9</f>
        <v/>
      </c>
      <c r="D10" s="277" t="n">
        <v>2</v>
      </c>
      <c r="E10" s="276" t="n">
        <v>20</v>
      </c>
      <c r="F10" s="279" t="n">
        <v>1</v>
      </c>
      <c r="G10" s="279" t="n">
        <v>3</v>
      </c>
      <c r="H10" s="279" t="n">
        <v>2</v>
      </c>
      <c r="I10" s="288">
        <f>IFERROR(ROUND(AVERAGE(Tabel26[[#This Row],[Demonteerbaarheid]],Tabel26[[#This Row],[Materiaalconditie ]],Tabel26[[#This Row],[Marktpotentie ]])/5,2),0)</f>
        <v/>
      </c>
      <c r="J10" s="287">
        <f>IF(I10="","Handmatig beoordelen",IF(I10&gt;=0.8,"Hergebruik",IF(I10&gt;=0.55,"Hergebruik &gt; recycling",IF(I10&gt;=0.3,"Recycling","Handmatig beoordelen"))))</f>
        <v/>
      </c>
      <c r="K10" s="287">
        <f>IF(Tabel26[[#This Row],[Routeadvies]]="Hergebruik","&gt;= 0,8",IF(Tabel26[[#This Row],[Routeadvies]]="Hergebruik &gt; recycling","&gt;= 0,55 en &lt; 0,8",IF(Tabel26[[#This Row],[Routeadvies]]="Recycling","&gt;= 0,3 en &lt; 0,55",IF(Tabel26[[#This Row],[Routeadvies]]="Handmatig beoordelen","&lt; 0,3 of geen score",""))))</f>
        <v/>
      </c>
      <c r="L10" s="286">
        <f>IF($B10="Totaal","Totaal",IF($A10="Hout",IF(OR($B10="Trappen",$B10="Ramen",$B10="Deuren",$B10="Kozijnen",$B10="Dakkapellen",$B10="Dakconstructie"),"Bijzonder hout",IF($G10="","Handmatig beoordelen",IF($G10&gt;=4,"A-hout",IF($G10&gt;=3,"B-hout",IF($G10&gt;0,"C-hout","Handmatig beoordelen"))))),IF($A10="Staal",IF(OR($B10="Kolommen",$B10="Balken",$B10="Liggers",$B10="Buisstaalconstructies",$B10="Kozijnen",$B10="Trappen",$B10="Hekwerken",$B10="Leuningen"),"Bijzonder staal",IF($G10="","Handmatig beoordelen",IF($G10&gt;=4,"A-staal",IF($G10&gt;=2,"B-staal",IF($G10&gt;0,"C-staal","Handmatig beoordelen"))))),IF($A10="Beton",IF(OR($B10="Funderingen",$B10="Heipalen",$B10="Prefab elementen",$B10="Kanaalplaatvloeren",$B10="Breedplaatvloeren",$B10="Trappen",$B10="Gevelpanelen"),"Bijzonder beton",IF($G10="","Handmatig beoordelen",IF($G10&gt;=4,"A-beton",IF($G10&gt;=3,"B-beton",IF($G10&gt;0,"C-beton","Handmatig beoordelen"))))),IF(OR($A10="Aluminium",$A10="Alumiunium"),IF(OR($B10="Ramen",$B10="Deuren",$B10="Kozijnen",$B10="Vliesgevels",$B10="Gevelsystemen",$B10="Zonwering",$B10="Trappen"),"Bijzonder aluminium",IF($G10="","Handmatig beoordelen",IF($G10&gt;=4,"A-aluminium",IF($G10&gt;=3,"B-aluminium",IF($G10&gt;0,"C-aluminium","Handmatig beoordelen"))))),IF($A10="Koper",IF(OR($B10="Installaties",$B10="Technische ruimte",$B10="Verdeelkast",$B10="Meterkast",$B10="Bliksemafleiding",$B10="Leidingnetten"),"Bijzonder koper",IF($G10="","Handmatig beoordelen",IF($G10&gt;=4,"A-koper",IF($G10&gt;=3,"B-koper",IF($G10&gt;0,"C-koper","Handmatig beoordelen"))))),IF($A10="Bitumen",IF(OR($B10="Dakopbouw",$B10="Groendak",$B10="Opstanden",$B10="Kimmen",$B10="Aansluitdetails",$B10="Dakdetails"),"Bijzonder bitumen",IF($G10="","Handmatig beoordelen",IF($G10&gt;=4,"A-bitumen",IF($G10&gt;=3,"B-bitumen",IF($G10&gt;0,"C-bitumen","Handmatig beoordelen"))))),"Handmatig beoordelen")))))))</f>
        <v/>
      </c>
      <c r="M10" s="330">
        <f>IFERROR(Tabel26[[#This Row],[BIM-volume m³]]*INDEX(Tabel113[CO2-nieuw (kg)],1)+Tabel26[[#This Row],[BIM-volume m³]]*Tabel26[[#This Row],[Transport Impact]]*IF(Tabel26[[#This Row],[Transportafstand (km)]]="",0,Tabel26[[#This Row],[Transportafstand (km)]]),0)</f>
        <v/>
      </c>
      <c r="N10" s="331">
        <f>IF(Tabel26[[#This Row],[Klasse]]="Totaal",SUM(M11:M19),IFERROR(Tabel26[[#This Row],[BIM-volume m³]]*INDEX(Tabel113[CO2-Hergebruik (kg)],1)+Tabel26[[#This Row],[BIM-volume m³]]*INDEX(Tabel113[Transport-impact ],1)*IF(Tabel26[[#This Row],[Transportafstand (km)]]="",0,Tabel26[[#This Row],[Transportafstand (km)]]),0))</f>
        <v/>
      </c>
      <c r="O10" s="172">
        <f>IFERROR(Tabel26[[#This Row],[BIM-volume m³]]*INDEX(Tabel113[CO2- recycle (kg)],1)+Tabel26[[#This Row],[BIM-volume m³]]*Tabel26[[#This Row],[Transport Impact]]*IF(Tabel26[[#This Row],[Transportafstand (km)]]="",0,Tabel26[[#This Row],[Transportafstand (km)]]),0)</f>
        <v/>
      </c>
      <c r="P10" s="57">
        <f>IF(Q10="hergebruik",M10-N10,IF(Q10="recycling",O10-N10,""))</f>
        <v/>
      </c>
      <c r="Q10" s="289">
        <f>IF(OR($M10="",$M10=0),"Geen beoordeling",IF(AND($N10=0,$O10=0),"Geen beoordeling",IF($N10&lt;$O10,"Hergebruik",IF($O10&lt;$N10,"Recycling","Hergebruik en recycling gelijk"))))</f>
        <v/>
      </c>
      <c r="R10" s="286">
        <f>IFERROR(Tabel26[[#This Row],[BIM-volume m³]]*Tabel26[[#This Row],[PRR]],0)</f>
        <v/>
      </c>
      <c r="S10" s="391">
        <f>IFERROR(VLOOKUP(Tabel26[[#This Row],[Klasse]],Hout!$A$12:$D$15,4,FALSE),0)</f>
        <v/>
      </c>
      <c r="T10" s="392">
        <f>R10*S10</f>
        <v/>
      </c>
      <c r="U10" s="287">
        <f>IF(OR($L10="Handmatig beoordelen",$L10="",$L10="Totaal",$I10=""),"Handmatig",IF($I10&gt;=50%,"Ja","Nee"))</f>
        <v/>
      </c>
      <c r="V10" s="287">
        <f>IF(OR($L10="Handmatig beoordelen",$L10="",$L10="Totaal"),"Handmatig",IF($P10&gt;0,"Ja","Nee"))</f>
        <v/>
      </c>
      <c r="W10" s="287">
        <f>IF(OR($L10="Handmatig beoordelen",$L10="",$L10="Totaal"),"Handmatig",IF($T10&gt;0,"Ja","Nee"))</f>
        <v/>
      </c>
      <c r="X10" s="333">
        <f>IF(OR($U10="Handmatig",$V10="Handmatig",$W10="Handmatig"),"Handmatig beoordelen",IF(COUNTIF($U10:$W10,"Ja")&gt;=2,"Interessant",IF(COUNTIF($U10:$W10,"Ja")=1,"Eigen beoordeling","Niet interessant")))</f>
        <v/>
      </c>
      <c r="Y10" s="307" t="n"/>
      <c r="Z10" s="307" t="n"/>
      <c r="AA10" s="307" t="n"/>
      <c r="AB10" s="362" t="n"/>
      <c r="AC10" s="361" t="n"/>
      <c r="AD10" s="360" t="n"/>
      <c r="AE10" s="360" t="n"/>
      <c r="AF10" s="394" t="n"/>
      <c r="AG10" s="301" t="n"/>
      <c r="AH10" s="301" t="n"/>
      <c r="AI10" s="301" t="n"/>
    </row>
    <row r="11">
      <c r="A11" s="337" t="inlineStr">
        <is>
          <t>Hout</t>
        </is>
      </c>
      <c r="B11" s="285" t="inlineStr">
        <is>
          <t>Ramen</t>
        </is>
      </c>
      <c r="C11" s="277">
        <f>'Hout-data'!B10</f>
        <v/>
      </c>
      <c r="D11" s="277" t="n">
        <v>2</v>
      </c>
      <c r="E11" s="276" t="n">
        <v>20</v>
      </c>
      <c r="F11" s="279" t="n">
        <v>5</v>
      </c>
      <c r="G11" s="279" t="n">
        <v>2</v>
      </c>
      <c r="H11" s="279" t="n">
        <v>1</v>
      </c>
      <c r="I11" s="288">
        <f>IFERROR(ROUND(AVERAGE(Tabel26[[#This Row],[Demonteerbaarheid]],Tabel26[[#This Row],[Materiaalconditie ]],Tabel26[[#This Row],[Marktpotentie ]])/5,2),0)</f>
        <v/>
      </c>
      <c r="J11" s="287">
        <f>IF(I11="","Handmatig beoordelen",IF(I11&gt;=0.8,"Hergebruik",IF(I11&gt;=0.55,"Hergebruik &gt; recycling",IF(I11&gt;=0.3,"Recycling","Handmatig beoordelen"))))</f>
        <v/>
      </c>
      <c r="K11" s="287">
        <f>IF(Tabel26[[#This Row],[Routeadvies]]="Hergebruik","&gt;= 0,8",IF(Tabel26[[#This Row],[Routeadvies]]="Hergebruik &gt; recycling","&gt;= 0,55 en &lt; 0,8",IF(Tabel26[[#This Row],[Routeadvies]]="Recycling","&gt;= 0,3 en &lt; 0,55",IF(Tabel26[[#This Row],[Routeadvies]]="Handmatig beoordelen","&lt; 0,3 of geen score",""))))</f>
        <v/>
      </c>
      <c r="L11" s="286">
        <f>IF($B11="Totaal","Totaal",IF($A11="Hout",IF(OR($B11="Trappen",$B11="Ramen",$B11="Deuren",$B11="Kozijnen",$B11="Dakkapellen",$B11="Dakconstructie"),"Bijzonder hout",IF($G11="","Handmatig beoordelen",IF($G11&gt;=4,"A-hout",IF($G11&gt;=3,"B-hout",IF($G11&gt;0,"C-hout","Handmatig beoordelen"))))),IF($A11="Staal",IF(OR($B11="Kolommen",$B11="Balken",$B11="Liggers",$B11="Buisstaalconstructies",$B11="Kozijnen",$B11="Trappen",$B11="Hekwerken",$B11="Leuningen"),"Bijzonder staal",IF($G11="","Handmatig beoordelen",IF($G11&gt;=4,"A-staal",IF($G11&gt;=2,"B-staal",IF($G11&gt;0,"C-staal","Handmatig beoordelen"))))),IF($A11="Beton",IF(OR($B11="Funderingen",$B11="Heipalen",$B11="Prefab elementen",$B11="Kanaalplaatvloeren",$B11="Breedplaatvloeren",$B11="Trappen",$B11="Gevelpanelen"),"Bijzonder beton",IF($G11="","Handmatig beoordelen",IF($G11&gt;=4,"A-beton",IF($G11&gt;=3,"B-beton",IF($G11&gt;0,"C-beton","Handmatig beoordelen"))))),IF(OR($A11="Aluminium",$A11="Alumiunium"),IF(OR($B11="Ramen",$B11="Deuren",$B11="Kozijnen",$B11="Vliesgevels",$B11="Gevelsystemen",$B11="Zonwering",$B11="Trappen"),"Bijzonder aluminium",IF($G11="","Handmatig beoordelen",IF($G11&gt;=4,"A-aluminium",IF($G11&gt;=3,"B-aluminium",IF($G11&gt;0,"C-aluminium","Handmatig beoordelen"))))),IF($A11="Koper",IF(OR($B11="Installaties",$B11="Technische ruimte",$B11="Verdeelkast",$B11="Meterkast",$B11="Bliksemafleiding",$B11="Leidingnetten"),"Bijzonder koper",IF($G11="","Handmatig beoordelen",IF($G11&gt;=4,"A-koper",IF($G11&gt;=3,"B-koper",IF($G11&gt;0,"C-koper","Handmatig beoordelen"))))),IF($A11="Bitumen",IF(OR($B11="Dakopbouw",$B11="Groendak",$B11="Opstanden",$B11="Kimmen",$B11="Aansluitdetails",$B11="Dakdetails"),"Bijzonder bitumen",IF($G11="","Handmatig beoordelen",IF($G11&gt;=4,"A-bitumen",IF($G11&gt;=3,"B-bitumen",IF($G11&gt;0,"C-bitumen","Handmatig beoordelen"))))),"Handmatig beoordelen")))))))</f>
        <v/>
      </c>
      <c r="M11" s="330">
        <f>IFERROR(Tabel26[[#This Row],[BIM-volume m³]]*INDEX(Tabel113[CO2-nieuw (kg)],1)+Tabel26[[#This Row],[BIM-volume m³]]*Tabel26[[#This Row],[Transport Impact]]*IF(Tabel26[[#This Row],[Transportafstand (km)]]="",0,Tabel26[[#This Row],[Transportafstand (km)]]),0)</f>
        <v/>
      </c>
      <c r="N11" s="331">
        <f>IF(Tabel26[[#This Row],[Klasse]]="Totaal",SUM(M12:M20),IFERROR(Tabel26[[#This Row],[BIM-volume m³]]*INDEX(Tabel113[CO2-Hergebruik (kg)],1)+Tabel26[[#This Row],[BIM-volume m³]]*INDEX(Tabel113[Transport-impact ],1)*IF(Tabel26[[#This Row],[Transportafstand (km)]]="",0,Tabel26[[#This Row],[Transportafstand (km)]]),0))</f>
        <v/>
      </c>
      <c r="O11" s="172">
        <f>IFERROR(Tabel26[[#This Row],[BIM-volume m³]]*INDEX(Tabel113[CO2- recycle (kg)],1)+Tabel26[[#This Row],[BIM-volume m³]]*Tabel26[[#This Row],[Transport Impact]]*IF(Tabel26[[#This Row],[Transportafstand (km)]]="",0,Tabel26[[#This Row],[Transportafstand (km)]]),0)</f>
        <v/>
      </c>
      <c r="P11" s="57">
        <f>IF(Q11="hergebruik",M11-N11,IF(Q11="recycling",O11-N11,""))</f>
        <v/>
      </c>
      <c r="Q11" s="289">
        <f>IF(OR($M11="",$M11=0),"Geen beoordeling",IF(AND($N11=0,$O11=0),"Geen beoordeling",IF($N11&lt;$O11,"Hergebruik",IF($O11&lt;$N11,"Recycling","Hergebruik en recycling gelijk"))))</f>
        <v/>
      </c>
      <c r="R11" s="286">
        <f>IFERROR(Tabel26[[#This Row],[BIM-volume m³]]*Tabel26[[#This Row],[PRR]],0)</f>
        <v/>
      </c>
      <c r="S11" s="391">
        <f>IFERROR(VLOOKUP(Tabel26[[#This Row],[Klasse]],Hout!$A$12:$D$15,4,FALSE),0)</f>
        <v/>
      </c>
      <c r="T11" s="392">
        <f>R11*S11</f>
        <v/>
      </c>
      <c r="U11" s="287">
        <f>IF(OR($L11="Handmatig beoordelen",$L11="",$L11="Totaal",$I11=""),"Handmatig",IF($I11&gt;=50%,"Ja","Nee"))</f>
        <v/>
      </c>
      <c r="V11" s="287">
        <f>IF(OR($L11="Handmatig beoordelen",$L11="",$L11="Totaal"),"Handmatig",IF($P11&gt;0,"Ja","Nee"))</f>
        <v/>
      </c>
      <c r="W11" s="287">
        <f>IF(OR($L11="Handmatig beoordelen",$L11="",$L11="Totaal"),"Handmatig",IF($T11&gt;0,"Ja","Nee"))</f>
        <v/>
      </c>
      <c r="X11" s="333">
        <f>IF(OR($U11="Handmatig",$V11="Handmatig",$W11="Handmatig"),"Handmatig beoordelen",IF(COUNTIF($U11:$W11,"Ja")&gt;=2,"Interessant",IF(COUNTIF($U11:$W11,"Ja")=1,"Eigen beoordeling","Niet interessant")))</f>
        <v/>
      </c>
      <c r="Y11" s="307" t="n"/>
      <c r="Z11" s="301" t="n"/>
      <c r="AA11" s="301" t="n"/>
      <c r="AB11" s="307" t="n"/>
      <c r="AC11" s="308" t="n"/>
      <c r="AD11" s="309" t="n"/>
      <c r="AE11" s="309" t="n"/>
      <c r="AF11" s="396" t="n"/>
      <c r="AG11" s="301" t="n"/>
      <c r="AH11" s="301" t="n"/>
      <c r="AI11" s="301" t="n"/>
    </row>
    <row r="12">
      <c r="A12" s="339" t="inlineStr">
        <is>
          <t>Hout</t>
        </is>
      </c>
      <c r="B12" s="340" t="inlineStr">
        <is>
          <t>Trappen</t>
        </is>
      </c>
      <c r="C12" s="277">
        <f>'Hout-data'!B11</f>
        <v/>
      </c>
      <c r="D12" s="280" t="n">
        <v>2</v>
      </c>
      <c r="E12" s="276" t="n">
        <v>20</v>
      </c>
      <c r="F12" s="281" t="n">
        <v>5</v>
      </c>
      <c r="G12" s="281" t="n">
        <v>4</v>
      </c>
      <c r="H12" s="281" t="n">
        <v>5</v>
      </c>
      <c r="I12" s="288">
        <f>IFERROR(ROUND(AVERAGE(F12,G12,H12)/5,2),0)</f>
        <v/>
      </c>
      <c r="J12" s="287">
        <f>IF(I12="","Handmatig beoordelen",IF(I12&gt;=0.8,"Hergebruik",IF(I12&gt;=0.55,"Hergebruik &gt; recycling",IF(I12&gt;=0.3,"Recycling","Handmatig beoordelen"))))</f>
        <v/>
      </c>
      <c r="K12" s="287">
        <f>IF(Tabel26[[#This Row],[Routeadvies]]="Hergebruik","&gt;= 0,8",IF(Tabel26[[#This Row],[Routeadvies]]="Hergebruik &gt; recycling","&gt;= 0,55 en &lt; 0,8",IF(Tabel26[[#This Row],[Routeadvies]]="Recycling","&gt;= 0,3 en &lt; 0,55",IF(Tabel26[[#This Row],[Routeadvies]]="Handmatig beoordelen","&lt; 0,3 of geen score",""))))</f>
        <v/>
      </c>
      <c r="L12" s="334">
        <f>IF($B12="Totaal","Totaal",IF($A12="Hout",IF(OR($B12="Trappen",$B12="Ramen",$B12="Deuren",$B12="Kozijnen",$B12="Dakkapellen",$B12="Dakconstructie"),"Bijzonder hout",IF($G12="","Handmatig beoordelen",IF($G12&gt;=4,"A-hout",IF($G12&gt;=3,"B-hout",IF($G12&gt;0,"C-hout","Handmatig beoordelen"))))),IF($A12="Staal",IF(OR($B12="Kolommen",$B12="Balken",$B12="Liggers",$B12="Buisstaalconstructies",$B12="Kozijnen",$B12="Trappen",$B12="Hekwerken",$B12="Leuningen"),"Bijzonder staal",IF($G12="","Handmatig beoordelen",IF($G12&gt;=4,"A-staal",IF($G12&gt;=2,"B-staal",IF($G12&gt;0,"C-staal","Handmatig beoordelen"))))),IF($A12="Beton",IF(OR($B12="Funderingen",$B12="Heipalen",$B12="Prefab elementen",$B12="Kanaalplaatvloeren",$B12="Breedplaatvloeren",$B12="Trappen",$B12="Gevelpanelen"),"Bijzonder beton",IF($G12="","Handmatig beoordelen",IF($G12&gt;=4,"A-beton",IF($G12&gt;=3,"B-beton",IF($G12&gt;0,"C-beton","Handmatig beoordelen"))))),IF(OR($A12="Aluminium",$A12="Alumiunium"),IF(OR($B12="Ramen",$B12="Deuren",$B12="Kozijnen",$B12="Vliesgevels",$B12="Gevelsystemen",$B12="Zonwering",$B12="Trappen"),"Bijzonder aluminium",IF($G12="","Handmatig beoordelen",IF($G12&gt;=4,"A-aluminium",IF($G12&gt;=3,"B-aluminium",IF($G12&gt;0,"C-aluminium","Handmatig beoordelen"))))),IF($A12="Koper",IF(OR($B12="Installaties",$B12="Technische ruimte",$B12="Verdeelkast",$B12="Meterkast",$B12="Bliksemafleiding",$B12="Leidingnetten"),"Bijzonder koper",IF($G12="","Handmatig beoordelen",IF($G12&gt;=4,"A-koper",IF($G12&gt;=3,"B-koper",IF($G12&gt;0,"C-koper","Handmatig beoordelen"))))),IF($A12="Bitumen",IF(OR($B12="Dakopbouw",$B12="Groendak",$B12="Opstanden",$B12="Kimmen",$B12="Aansluitdetails",$B12="Dakdetails"),"Bijzonder bitumen",IF($G12="","Handmatig beoordelen",IF($G12&gt;=4,"A-bitumen",IF($G12&gt;=3,"B-bitumen",IF($G12&gt;0,"C-bitumen","Handmatig beoordelen"))))),"Handmatig beoordelen")))))))</f>
        <v/>
      </c>
      <c r="M12" s="330">
        <f>IFERROR(Tabel26[[#This Row],[BIM-volume m³]]*INDEX(Tabel113[CO2-nieuw (kg)],1)+Tabel26[[#This Row],[BIM-volume m³]]*Tabel26[[#This Row],[Transport Impact]]*IF(Tabel26[[#This Row],[Transportafstand (km)]]="",0,Tabel26[[#This Row],[Transportafstand (km)]]),0)</f>
        <v/>
      </c>
      <c r="N12" s="331" t="n"/>
      <c r="O12" s="172">
        <f>IFERROR(Tabel26[[#This Row],[BIM-volume m³]]*INDEX(Tabel113[CO2- recycle (kg)],1)+Tabel26[[#This Row],[BIM-volume m³]]*Tabel26[[#This Row],[Transport Impact]]*IF(Tabel26[[#This Row],[Transportafstand (km)]]="",0,Tabel26[[#This Row],[Transportafstand (km)]]),0)</f>
        <v/>
      </c>
      <c r="P12" s="290">
        <f>IF($B19="Totaal",SUM($O$4:$O$12),IFERROR(MAX(0,$M12-MIN($N12,$O12)),0))</f>
        <v/>
      </c>
      <c r="Q12" s="335">
        <f>IF(OR($M12="",$M12=0),"Geen beoordeling",IF(AND($N12=0,$O12=0),"Geen beoordeling",IF($N12&lt;$O12,"Hergebruik",IF($O12&lt;$N12,"Recycling","Hergebruik en recycling gelijk"))))</f>
        <v/>
      </c>
      <c r="R12" s="334">
        <f>IFERROR(Tabel26[[#This Row],[BIM-volume m³]]*Tabel26[[#This Row],[PRR]],0)</f>
        <v/>
      </c>
      <c r="S12" s="397">
        <f>IFERROR(VLOOKUP(Tabel26[[#This Row],[Klasse]],Hout!$A$12:$D$15,4,FALSE),0)</f>
        <v/>
      </c>
      <c r="T12" s="398">
        <f>R12*S12</f>
        <v/>
      </c>
      <c r="U12" s="287">
        <f>IF(OR($L12="Handmatig beoordelen",$L12="",$L12="Totaal",$I12=""),"Handmatig",IF($I12&gt;=50%,"Ja","Nee"))</f>
        <v/>
      </c>
      <c r="V12" s="287">
        <f>IF(OR($L12="Handmatig beoordelen",$L12="",$L12="Totaal"),"Handmatig",IF($P12&gt;0,"Ja","Nee"))</f>
        <v/>
      </c>
      <c r="W12" s="287">
        <f>IF(OR($L12="Handmatig beoordelen",$L12="",$L12="Totaal"),"Handmatig",IF($T12&gt;0,"Ja","Nee"))</f>
        <v/>
      </c>
      <c r="X12" s="284">
        <f>IF(OR($U12="Handmatig",$V12="Handmatig",$W12="Handmatig"),"Handmatig beoordelen",IF(COUNTIF($U12:$W12,"Ja")&gt;=2,"Interessant",IF(COUNTIF($U12:$W12,"Ja")=1,"Eigen beoordeling","Niet interessant")))</f>
        <v/>
      </c>
      <c r="Y12" s="301" t="n"/>
      <c r="Z12" s="301" t="n"/>
      <c r="AA12" s="307" t="n"/>
      <c r="AB12" s="301" t="n"/>
      <c r="AC12" s="301" t="n"/>
      <c r="AD12" s="301" t="n"/>
      <c r="AE12" s="301" t="n"/>
      <c r="AF12" s="301" t="n"/>
      <c r="AG12" s="301" t="n"/>
      <c r="AH12" s="301" t="n"/>
    </row>
    <row r="13">
      <c r="A13" s="301" t="n"/>
      <c r="B13" s="301" t="n"/>
      <c r="C13" s="301" t="n"/>
      <c r="D13" s="301" t="n"/>
      <c r="E13" s="301" t="n"/>
      <c r="F13" s="301" t="n"/>
      <c r="G13" s="301" t="n"/>
      <c r="H13" s="301" t="n"/>
      <c r="I13" s="301" t="n"/>
      <c r="J13" s="301" t="n"/>
      <c r="K13" s="301" t="n"/>
      <c r="L13" s="314" t="n"/>
      <c r="M13" s="301" t="n"/>
      <c r="N13" s="301" t="n"/>
      <c r="O13" s="301" t="n"/>
      <c r="P13" s="311" t="n"/>
      <c r="Q13" s="301" t="n"/>
      <c r="R13" s="301" t="n"/>
      <c r="S13" s="301" t="n"/>
      <c r="T13" s="301" t="n"/>
      <c r="U13" s="301" t="n"/>
      <c r="V13" s="301" t="n"/>
      <c r="W13" s="301" t="n"/>
      <c r="X13" s="301" t="n"/>
      <c r="Y13" s="301" t="n"/>
      <c r="Z13" s="301" t="n"/>
      <c r="AA13" s="301" t="n"/>
      <c r="AB13" s="301" t="n"/>
      <c r="AC13" s="301" t="n"/>
      <c r="AD13" s="301" t="n"/>
      <c r="AE13" s="301" t="n"/>
      <c r="AF13" s="301" t="n"/>
      <c r="AG13" s="301" t="n"/>
      <c r="AH13" s="301" t="n"/>
      <c r="AI13" s="301" t="n"/>
    </row>
    <row r="14" ht="42.75" customHeight="1">
      <c r="A14" s="303" t="inlineStr">
        <is>
          <t>Materiaalstroom</t>
        </is>
      </c>
      <c r="B14" s="304" t="inlineStr">
        <is>
          <t xml:space="preserve"> Bouwdeel uit BIM</t>
        </is>
      </c>
      <c r="C14" s="304" t="inlineStr">
        <is>
          <t>BIM-volume m³</t>
        </is>
      </c>
      <c r="D14" s="366" t="inlineStr">
        <is>
          <t>Transport Impact</t>
        </is>
      </c>
      <c r="E14" s="366" t="inlineStr">
        <is>
          <t>Transportafstand (km)</t>
        </is>
      </c>
      <c r="F14" s="367" t="inlineStr">
        <is>
          <t>Demonteerbaarheid</t>
        </is>
      </c>
      <c r="G14" s="367" t="inlineStr">
        <is>
          <t xml:space="preserve">Materiaalconditie </t>
        </is>
      </c>
      <c r="H14" s="367" t="inlineStr">
        <is>
          <t xml:space="preserve">Marktpotentie </t>
        </is>
      </c>
      <c r="I14" s="304" t="inlineStr">
        <is>
          <t>PRR</t>
        </is>
      </c>
      <c r="J14" s="304" t="inlineStr">
        <is>
          <t>Routeadvies</t>
        </is>
      </c>
      <c r="K14" s="304" t="inlineStr">
        <is>
          <t>Grenswaarde</t>
        </is>
      </c>
      <c r="L14" s="304" t="inlineStr">
        <is>
          <t>Klasse</t>
        </is>
      </c>
      <c r="M14" s="305" t="inlineStr">
        <is>
          <t>Tot. nieuw CO2 (kg)</t>
        </is>
      </c>
      <c r="N14" s="304" t="inlineStr">
        <is>
          <t>Tot. hergebruik CO2 (kg)</t>
        </is>
      </c>
      <c r="O14" s="304" t="inlineStr">
        <is>
          <t>Tot. recycling Co2 (kg)</t>
        </is>
      </c>
      <c r="P14" s="304" t="inlineStr">
        <is>
          <t>Klimaatbesparing kg CO₂</t>
        </is>
      </c>
      <c r="Q14" s="304" t="inlineStr">
        <is>
          <t>Routeadvies 2</t>
        </is>
      </c>
      <c r="R14" s="304" t="inlineStr">
        <is>
          <t>Praktisch terugwinbaar volume m³</t>
        </is>
      </c>
      <c r="S14" s="304" t="inlineStr">
        <is>
          <t>Verkoopprijs per m³</t>
        </is>
      </c>
      <c r="T14" s="304" t="inlineStr">
        <is>
          <t>Financiële marktwaarde excl. kosten</t>
        </is>
      </c>
      <c r="U14" s="368" t="inlineStr">
        <is>
          <t>Recovery hoog?</t>
        </is>
      </c>
      <c r="V14" s="368" t="inlineStr">
        <is>
          <t>Klimaat positief?</t>
        </is>
      </c>
      <c r="W14" s="368" t="inlineStr">
        <is>
          <t>Financiele positief?</t>
        </is>
      </c>
      <c r="X14" s="369" t="inlineStr">
        <is>
          <t>Eindbeoordeling</t>
        </is>
      </c>
      <c r="Y14" s="301" t="n"/>
      <c r="Z14" s="301" t="n"/>
      <c r="AA14" s="301" t="n"/>
      <c r="AB14" s="301" t="n"/>
      <c r="AC14" s="301" t="n"/>
      <c r="AD14" s="301" t="n"/>
      <c r="AE14" s="301" t="n"/>
      <c r="AF14" s="301" t="n"/>
      <c r="AG14" s="301" t="n"/>
      <c r="AH14" s="301" t="n"/>
      <c r="AI14" s="301" t="n"/>
    </row>
    <row r="15">
      <c r="A15" s="337" t="inlineStr">
        <is>
          <t>Staal</t>
        </is>
      </c>
      <c r="B15" s="338" t="inlineStr">
        <is>
          <t>Totaal</t>
        </is>
      </c>
      <c r="C15" s="275">
        <f>'Staal-data'!B2</f>
        <v/>
      </c>
      <c r="D15" s="275" t="n">
        <v>4</v>
      </c>
      <c r="E15" s="276">
        <f>""</f>
        <v/>
      </c>
      <c r="F15" s="276">
        <f>AVERAGE(F16:F24)</f>
        <v/>
      </c>
      <c r="G15" s="276">
        <f>AVERAGE(G16:G24)</f>
        <v/>
      </c>
      <c r="H15" s="276">
        <f>AVERAGE(H16:H24)</f>
        <v/>
      </c>
      <c r="I15" s="288">
        <f>IFERROR(ROUND(AVERAGE(Tabel2640[[#This Row],[Demonteerbaarheid]],Tabel2640[[#This Row],[Materiaalconditie ]],Tabel2640[[#This Row],[Marktpotentie ]])/5,2),0)</f>
        <v/>
      </c>
      <c r="J15" s="287">
        <f>IF(Tabel2640[[#This Row],[PRR]]="","Handmatig beoordelen",IF(Tabel2640[[#This Row],[PRR]]&gt;=0.75,"Hergebruik",IF(Tabel2640[[#This Row],[PRR]]&gt;=0.4,"Hergebruik &gt; recycling",IF(Tabel2640[[#This Row],[PRR]]&gt;=0.15,"Recycling","Handmatig beoordelen"))))</f>
        <v/>
      </c>
      <c r="K15" s="287">
        <f>IF(Tabel2640[[#This Row],[Routeadvies]]="Hergebruik","&gt;= 0,75",IF(Tabel2640[[#This Row],[Routeadvies]]="Hergebruik &gt; recycling","&gt;= 0,4 en &lt; 0,75",IF(Tabel2640[[#This Row],[Routeadvies]]="Recycling","&gt;= 0,15 en &lt; 0,4",IF(Tabel2640[[#This Row],[Routeadvies]]="Handmatig beoordelen","&lt; 0,15 of geen score",""))))</f>
        <v/>
      </c>
      <c r="L15" s="287">
        <f>IF($B15="Totaal","Totaal",IF(OR($B15="deuren",$B15="Balken",$B15="Liggers",$B15="Buisstaalconstructies",$B15="Kozijnen",$B15="Trappen",$B15="Hekwerken",$B15="Leuningen",$B15="ramen"),"Bijzonder staal",IF($G15="","Handmatig beoordelen",IF($G15&gt;=4,"A-staal",IF($G15&gt;=2,"B-staal",IF($G15&gt;0,"C-staal","Handmatig beoordelen"))))))</f>
        <v/>
      </c>
      <c r="M15" s="347">
        <f>IFERROR(Tabel2640[[#This Row],[BIM-volume m³]]*INDEX(Tabel17[CO2-nieuw (kg)],1)+Tabel2640[[#This Row],[BIM-volume m³]]*Tabel2640[[#This Row],[Transport Impact]]*IF(Tabel2640[[#This Row],[Transportafstand (km)]]="",0,Tabel2640[[#This Row],[Transportafstand (km)]]),0)</f>
        <v/>
      </c>
      <c r="N15" s="290">
        <f>SUM(N16:N24)</f>
        <v/>
      </c>
      <c r="O15" s="75">
        <f>SUM(O16:O24)</f>
        <v/>
      </c>
      <c r="P15" s="290">
        <f>IF($B10="Totaal",SUM($P$16:$P$24),IFERROR(MAX(0,$M14-MIN($N15,$O15)),0))</f>
        <v/>
      </c>
      <c r="Q15" s="289">
        <f>IF(OR($M14="",$M14=0),"Geen beoordeling",IF(AND($N15=0,$O15=0),"Geen beoordeling",IF($N15&lt;$O15,"Hergebruik",IF($O15&lt;$N15,"Recycling","Hergebruik en recycling gelijk"))))</f>
        <v/>
      </c>
      <c r="R15" s="286">
        <f>IFERROR(Tabel2640[[#This Row],[BIM-volume m³]]*Tabel2640[[#This Row],[PRR]],0)</f>
        <v/>
      </c>
      <c r="S15" s="393">
        <f>IFERROR(VLOOKUP(Tabel2640[[#This Row],[Klasse]],Staal!$A$12:$D$15,4,FALSE),0)</f>
        <v/>
      </c>
      <c r="T15" s="399">
        <f>Tabel2640[[#This Row],[Praktisch terugwinbaar volume m³]]*Tabel2640[[#This Row],[Verkoopprijs per m³]]</f>
        <v/>
      </c>
      <c r="U15" s="332">
        <f>IF(OR($L15="Handmatig beoordelen",$L15="",$L15="Totaal",$I15=""),"Handmatig",IF($I15&gt;=50%,"Ja","Nee"))</f>
        <v/>
      </c>
      <c r="V15" s="287">
        <f>IF(OR($L15="Handmatig beoordelen",$L15="",$L15="Totaal",$Q15=""),"Handmatig",IF(OR($Q15="Hergebruik",$Q15="Recycling",$Q15="Hergebruik en recycling",$Q15="Hergebruik en recycling gelijk"),"Ja","Nee"))</f>
        <v/>
      </c>
      <c r="W15" s="287">
        <f>IF(OR($L15="Handmatig beoordelen",$L15="",$L15="Totaal"),"Handmatig",IF($T15&gt;0,"Ja","Nee"))</f>
        <v/>
      </c>
      <c r="X15" s="333">
        <f>IF(OR($U15="Handmatig",$V15="Handmatig",$W15="Handmatig"),"Handmatig beoordelen",IF(COUNTIF($U15:$W15,"Ja")&gt;=2,"Interessant",IF(COUNTIF($U15:$W15,"Ja")=1,"Eigen beoordeling","Niet interessant")))</f>
        <v/>
      </c>
      <c r="Y15" s="301" t="n"/>
      <c r="Z15" s="301" t="n"/>
      <c r="AA15" s="301" t="n"/>
      <c r="AB15" s="301" t="n"/>
      <c r="AC15" s="301" t="n"/>
      <c r="AD15" s="301" t="n"/>
      <c r="AE15" s="301" t="n"/>
      <c r="AF15" s="301" t="n"/>
      <c r="AG15" s="301" t="n"/>
      <c r="AH15" s="301" t="n"/>
      <c r="AI15" s="301" t="n"/>
    </row>
    <row r="16">
      <c r="A16" s="337" t="inlineStr">
        <is>
          <t>Staal</t>
        </is>
      </c>
      <c r="B16" s="285" t="inlineStr">
        <is>
          <t>Plafonds</t>
        </is>
      </c>
      <c r="C16" s="275">
        <f>'Staal-data'!B3</f>
        <v/>
      </c>
      <c r="D16" s="277" t="n">
        <v>4</v>
      </c>
      <c r="E16" s="276" t="n">
        <v>20</v>
      </c>
      <c r="F16" s="283" t="n">
        <v>1</v>
      </c>
      <c r="G16" s="278" t="n">
        <v>3</v>
      </c>
      <c r="H16" s="278" t="n">
        <v>4</v>
      </c>
      <c r="I16" s="288">
        <f>IFERROR(ROUND(AVERAGE(Tabel2640[[#This Row],[Demonteerbaarheid]],Tabel2640[[#This Row],[Materiaalconditie ]],Tabel2640[[#This Row],[Marktpotentie ]])/5,2),0)</f>
        <v/>
      </c>
      <c r="J16" s="287">
        <f>IF(Tabel2640[[#This Row],[PRR]]="","Handmatig beoordelen",IF(Tabel2640[[#This Row],[PRR]]&gt;=0.75,"Hergebruik",IF(Tabel2640[[#This Row],[PRR]]&gt;=0.4,"Hergebruik &gt; recycling",IF(Tabel2640[[#This Row],[PRR]]&gt;=0.15,"Recycling","Handmatig beoordelen"))))</f>
        <v/>
      </c>
      <c r="K16" s="287">
        <f>IF(Tabel2640[[#This Row],[Routeadvies]]="Hergebruik","&gt;= 0,75",IF(Tabel2640[[#This Row],[Routeadvies]]="Hergebruik &gt; recycling","&gt;= 0,4 en &lt; 0,75",IF(Tabel2640[[#This Row],[Routeadvies]]="Recycling","&gt;= 0,15 en &lt; 0,4",IF(Tabel2640[[#This Row],[Routeadvies]]="Handmatig beoordelen","&lt; 0,15 of geen score",""))))</f>
        <v/>
      </c>
      <c r="L16" s="287">
        <f>IF($B16="Totaal","Totaal",IF(OR($B16="deuren",$B16="Balken",$B16="Liggers",$B16="Buisstaalconstructies",$B16="Kozijnen",$B16="Trappen",$B16="Hekwerken",$B16="Leuningen",$B16="ramen"),"Bijzonder staal",IF($G16="","Handmatig beoordelen",IF($G16&gt;=4,"A-staal",IF($G16&gt;=2,"B-staal",IF($G16&gt;0,"C-staal","Handmatig beoordelen"))))))</f>
        <v/>
      </c>
      <c r="M16" s="290">
        <f>IFERROR(Tabel2640[[#This Row],[BIM-volume m³]]*INDEX(Tabel17[CO2-nieuw (kg)],1)+Tabel2640[[#This Row],[BIM-volume m³]]*Tabel2640[[#This Row],[Transport Impact]]*IF(Tabel2640[[#This Row],[Transportafstand (km)]]="",0,Tabel2640[[#This Row],[Transportafstand (km)]]),0)</f>
        <v/>
      </c>
      <c r="N16" s="287">
        <f>IFERROR(Tabel2640[[#This Row],[BIM-volume m³]]*INDEX(Tabel17[CO2-Hergebruik (kg)],1)+Tabel2640[[#This Row],[BIM-volume m³]]*Tabel2640[[#This Row],[Transportafstand (km)]]*Tabel2640[[#This Row],[Transport Impact]],0)</f>
        <v/>
      </c>
      <c r="O16" s="287">
        <f>IFERROR(Tabel2640[[#This Row],[BIM-volume m³]]*Staal!$O$3+Tabel2640[[#This Row],[BIM-volume m³]]*Tabel2640[[#This Row],[Transport Impact]]*IF(Tabel2640[[#This Row],[Transportafstand (km)]]="",0,Tabel2640[[#This Row],[Transportafstand (km)]]),0)</f>
        <v/>
      </c>
      <c r="P16" s="290">
        <f>IFERROR(MAX(0,Tabel2640[[#This Row],[Tot. nieuw CO2 (kg)]]-MIN(IF(Tabel2640[[#This Row],[Tot. hergebruik CO2 (kg)]]=0,999999,Tabel2640[[#This Row],[Tot. hergebruik CO2 (kg)]]),IF(Tabel2640[[#This Row],[Tot. recycling Co2 (kg)]]=0,999999,Tabel2640[[#This Row],[Tot. recycling Co2 (kg)]]))),0)</f>
        <v/>
      </c>
      <c r="Q16" s="291">
        <f>IF(OR($M15="",$M15=0),"Geen beoordeling",IF(AND($N16=0,$O16=0),"Geen beoordeling",IF($N16&lt;$O16,"Hergebruik",IF($O16&lt;$N16,"Recycling","Hergebruik en recycling gelijk"))))</f>
        <v/>
      </c>
      <c r="R16" s="286">
        <f>IFERROR(Tabel2640[[#This Row],[BIM-volume m³]]*Tabel2640[[#This Row],[PRR]],0)</f>
        <v/>
      </c>
      <c r="S16" s="400">
        <f>IFERROR(VLOOKUP(Tabel2640[[#This Row],[Klasse]],Staal!$A$12:$D$15,4,FALSE),0)</f>
        <v/>
      </c>
      <c r="T16" s="399">
        <f>Tabel2640[[#This Row],[Praktisch terugwinbaar volume m³]]*Tabel2640[[#This Row],[Verkoopprijs per m³]]</f>
        <v/>
      </c>
      <c r="U16" s="287">
        <f>IF(OR($L16="Handmatig beoordelen",$L16="",$L16="Totaal",$I16=""),"Handmatig",IF($I16&gt;=50%,"Ja","Nee"))</f>
        <v/>
      </c>
      <c r="V16" s="287">
        <f>IF(OR($L16="Handmatig beoordelen",$L16="",$L16="Totaal",$Q16=""),"Handmatig",IF(OR($Q16="Hergebruik",$Q16="Recycling",$Q16="Hergebruik en recycling",$Q16="Hergebruik en recycling gelijk"),"Ja","Nee"))</f>
        <v/>
      </c>
      <c r="W16" s="287">
        <f>IF(OR($L16="Handmatig beoordelen",$L16="",$L16="Totaal"),"Handmatig",IF($T16&gt;0,"Ja","Nee"))</f>
        <v/>
      </c>
      <c r="X16" s="333">
        <f>IF(OR($U16="Handmatig",$V16="Handmatig",$W16="Handmatig"),"Handmatig beoordelen",IF(COUNTIF($U16:$W16,"Ja")&gt;=2,"Interessant",IF(COUNTIF($U16:$W16,"Ja")=1,"Eigen beoordeling","Niet interessant")))</f>
        <v/>
      </c>
      <c r="Y16" s="301" t="n"/>
      <c r="Z16" s="301" t="n"/>
      <c r="AA16" s="301" t="n"/>
      <c r="AB16" s="301" t="n"/>
      <c r="AC16" s="301" t="n"/>
      <c r="AD16" s="301" t="n"/>
      <c r="AE16" s="301" t="n"/>
      <c r="AF16" s="301" t="n"/>
      <c r="AG16" s="301" t="n"/>
      <c r="AH16" s="301" t="n"/>
      <c r="AI16" s="301" t="n"/>
    </row>
    <row r="17">
      <c r="A17" s="337" t="inlineStr">
        <is>
          <t>Staal</t>
        </is>
      </c>
      <c r="B17" s="285" t="inlineStr">
        <is>
          <t>Kolommen</t>
        </is>
      </c>
      <c r="C17" s="275">
        <f>'Staal-data'!B4</f>
        <v/>
      </c>
      <c r="D17" s="277" t="n">
        <v>4</v>
      </c>
      <c r="E17" s="276" t="n">
        <v>20</v>
      </c>
      <c r="F17" s="279" t="n">
        <v>1</v>
      </c>
      <c r="G17" s="279" t="n">
        <v>3</v>
      </c>
      <c r="H17" s="279" t="n">
        <v>3</v>
      </c>
      <c r="I17" s="288">
        <f>IFERROR(ROUND(AVERAGE(Tabel2640[[#This Row],[Demonteerbaarheid]],Tabel2640[[#This Row],[Materiaalconditie ]],Tabel2640[[#This Row],[Marktpotentie ]])/5,2),0)</f>
        <v/>
      </c>
      <c r="J17" s="287">
        <f>IF(Tabel2640[[#This Row],[PRR]]="","Handmatig beoordelen",IF(Tabel2640[[#This Row],[PRR]]&gt;=0.75,"Hergebruik",IF(Tabel2640[[#This Row],[PRR]]&gt;=0.4,"Hergebruik &gt; recycling",IF(Tabel2640[[#This Row],[PRR]]&gt;=0.15,"Recycling","Handmatig beoordelen"))))</f>
        <v/>
      </c>
      <c r="K17" s="287">
        <f>IF(Tabel2640[[#This Row],[Routeadvies]]="Hergebruik","&gt;= 0,75",IF(Tabel2640[[#This Row],[Routeadvies]]="Hergebruik &gt; recycling","&gt;= 0,4 en &lt; 0,75",IF(Tabel2640[[#This Row],[Routeadvies]]="Recycling","&gt;= 0,15 en &lt; 0,4",IF(Tabel2640[[#This Row],[Routeadvies]]="Handmatig beoordelen","&lt; 0,15 of geen score",""))))</f>
        <v/>
      </c>
      <c r="L17" s="287">
        <f>IF($B17="Totaal","Totaal",IF(OR($B17="deuren",$B17="Balken",$B17="Liggers",$B17="Buisstaalconstructies",$B17="Kozijnen",$B17="Trappen",$B17="Hekwerken",$B17="Leuningen",$B17="ramen"),"Bijzonder staal",IF($G17="","Handmatig beoordelen",IF($G17&gt;=4,"A-staal",IF($G17&gt;=2,"B-staal",IF($G17&gt;0,"C-staal","Handmatig beoordelen"))))))</f>
        <v/>
      </c>
      <c r="M17" s="290">
        <f>IFERROR(Tabel2640[[#This Row],[BIM-volume m³]]*INDEX(Tabel17[CO2-nieuw (kg)],1)+Tabel2640[[#This Row],[BIM-volume m³]]*Tabel2640[[#This Row],[Transport Impact]]*IF(Tabel2640[[#This Row],[Transportafstand (km)]]="",0,Tabel2640[[#This Row],[Transportafstand (km)]]),0)</f>
        <v/>
      </c>
      <c r="N17" s="287">
        <f>IFERROR(Tabel2640[[#This Row],[BIM-volume m³]]*INDEX(Tabel17[CO2-Hergebruik (kg)],1)+Tabel2640[[#This Row],[BIM-volume m³]]*Tabel2640[[#This Row],[Transportafstand (km)]]*Tabel2640[[#This Row],[Transport Impact]],0)</f>
        <v/>
      </c>
      <c r="O17" s="287">
        <f>IFERROR(Tabel2640[[#This Row],[BIM-volume m³]]*Staal!$O$3+Tabel2640[[#This Row],[BIM-volume m³]]*Tabel2640[[#This Row],[Transport Impact]]*IF(Tabel2640[[#This Row],[Transportafstand (km)]]="",0,Tabel2640[[#This Row],[Transportafstand (km)]]),0)</f>
        <v/>
      </c>
      <c r="P17" s="290">
        <f>IFERROR(MAX(0,Tabel2640[[#This Row],[Tot. nieuw CO2 (kg)]]-MIN(IF(Tabel2640[[#This Row],[Tot. hergebruik CO2 (kg)]]=0,999999,Tabel2640[[#This Row],[Tot. hergebruik CO2 (kg)]]),IF(Tabel2640[[#This Row],[Tot. recycling Co2 (kg)]]=0,999999,Tabel2640[[#This Row],[Tot. recycling Co2 (kg)]]))),0)</f>
        <v/>
      </c>
      <c r="Q17" s="291">
        <f>IF(OR($M16="",$M16=0),"Geen beoordeling",IF(AND($N17=0,$O17=0),"Geen beoordeling",IF($N17&lt;$O17,"Hergebruik",IF($O17&lt;$N17,"Recycling","Hergebruik en recycling gelijk"))))</f>
        <v/>
      </c>
      <c r="R17" s="286">
        <f>IFERROR(Tabel2640[[#This Row],[BIM-volume m³]]*Tabel2640[[#This Row],[PRR]],0)</f>
        <v/>
      </c>
      <c r="S17" s="400">
        <f>IFERROR(VLOOKUP(Tabel2640[[#This Row],[Klasse]],Staal!$A$12:$D$15,4,FALSE),0)</f>
        <v/>
      </c>
      <c r="T17" s="399">
        <f>Tabel2640[[#This Row],[Praktisch terugwinbaar volume m³]]*Tabel2640[[#This Row],[Verkoopprijs per m³]]</f>
        <v/>
      </c>
      <c r="U17" s="287">
        <f>IF(OR($L17="Handmatig beoordelen",$L17="",$L17="Totaal",$I17=""),"Handmatig",IF($I17&gt;=50%,"Ja","Nee"))</f>
        <v/>
      </c>
      <c r="V17" s="287">
        <f>IF(OR($L17="Handmatig beoordelen",$L17="",$L17="Totaal",$Q17=""),"Handmatig",IF(OR($Q17="Hergebruik",$Q17="Recycling",$Q17="Hergebruik en recycling",$Q17="Hergebruik en recycling gelijk"),"Ja","Nee"))</f>
        <v/>
      </c>
      <c r="W17" s="287">
        <f>IF(OR($L17="Handmatig beoordelen",$L17="",$L17="Totaal"),"Handmatig",IF($T17&gt;0,"Ja","Nee"))</f>
        <v/>
      </c>
      <c r="X17" s="333">
        <f>IF(OR($U17="Handmatig",$V17="Handmatig",$W17="Handmatig"),"Handmatig beoordelen",IF(COUNTIF($U17:$W17,"Ja")&gt;=2,"Interessant",IF(COUNTIF($U17:$W17,"Ja")=1,"Eigen beoordeling","Niet interessant")))</f>
        <v/>
      </c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1" t="n"/>
      <c r="AI17" s="301" t="n"/>
    </row>
    <row r="18">
      <c r="A18" s="337" t="inlineStr">
        <is>
          <t>Staal</t>
        </is>
      </c>
      <c r="B18" s="285" t="inlineStr">
        <is>
          <t>Gevelpanelen</t>
        </is>
      </c>
      <c r="C18" s="275">
        <f>'Staal-data'!B5</f>
        <v/>
      </c>
      <c r="D18" s="277" t="n">
        <v>4</v>
      </c>
      <c r="E18" s="276" t="n">
        <v>20</v>
      </c>
      <c r="F18" s="279" t="n">
        <v>5</v>
      </c>
      <c r="G18" s="279" t="n">
        <v>4</v>
      </c>
      <c r="H18" s="279" t="n">
        <v>3</v>
      </c>
      <c r="I18" s="288">
        <f>IFERROR(ROUND(AVERAGE(Tabel2640[[#This Row],[Demonteerbaarheid]],Tabel2640[[#This Row],[Materiaalconditie ]],Tabel2640[[#This Row],[Marktpotentie ]])/5,2),0)</f>
        <v/>
      </c>
      <c r="J18" s="287">
        <f>IF(Tabel2640[[#This Row],[PRR]]="","Handmatig beoordelen",IF(Tabel2640[[#This Row],[PRR]]&gt;=0.75,"Hergebruik",IF(Tabel2640[[#This Row],[PRR]]&gt;=0.4,"Hergebruik &gt; recycling",IF(Tabel2640[[#This Row],[PRR]]&gt;=0.15,"Recycling","Handmatig beoordelen"))))</f>
        <v/>
      </c>
      <c r="K18" s="287">
        <f>IF(Tabel2640[[#This Row],[Routeadvies]]="Hergebruik","&gt;= 0,75",IF(Tabel2640[[#This Row],[Routeadvies]]="Hergebruik &gt; recycling","&gt;= 0,4 en &lt; 0,75",IF(Tabel2640[[#This Row],[Routeadvies]]="Recycling","&gt;= 0,15 en &lt; 0,4",IF(Tabel2640[[#This Row],[Routeadvies]]="Handmatig beoordelen","&lt; 0,15 of geen score",""))))</f>
        <v/>
      </c>
      <c r="L18" s="287">
        <f>IF($B18="Totaal","Totaal",IF(OR($B18="deuren",$B18="Balken",$B18="Liggers",$B18="Buisstaalconstructies",$B18="Kozijnen",$B18="Trappen",$B18="Hekwerken",$B18="Leuningen",$B18="ramen"),"Bijzonder staal",IF($G18="","Handmatig beoordelen",IF($G18&gt;=4,"A-staal",IF($G18&gt;=2,"B-staal",IF($G18&gt;0,"C-staal","Handmatig beoordelen"))))))</f>
        <v/>
      </c>
      <c r="M18" s="290">
        <f>IFERROR(Tabel2640[[#This Row],[BIM-volume m³]]*INDEX(Tabel17[CO2-nieuw (kg)],1)+Tabel2640[[#This Row],[BIM-volume m³]]*Tabel2640[[#This Row],[Transport Impact]]*IF(Tabel2640[[#This Row],[Transportafstand (km)]]="",0,Tabel2640[[#This Row],[Transportafstand (km)]]),0)</f>
        <v/>
      </c>
      <c r="N18" s="287">
        <f>IFERROR(Tabel2640[[#This Row],[BIM-volume m³]]*INDEX(Tabel17[CO2-Hergebruik (kg)],1)+Tabel2640[[#This Row],[BIM-volume m³]]*Tabel2640[[#This Row],[Transportafstand (km)]]*Tabel2640[[#This Row],[Transport Impact]],0)</f>
        <v/>
      </c>
      <c r="O18" s="287">
        <f>IFERROR(Tabel2640[[#This Row],[BIM-volume m³]]*Staal!$O$3+Tabel2640[[#This Row],[BIM-volume m³]]*Tabel2640[[#This Row],[Transport Impact]]*IF(Tabel2640[[#This Row],[Transportafstand (km)]]="",0,Tabel2640[[#This Row],[Transportafstand (km)]]),0)</f>
        <v/>
      </c>
      <c r="P18" s="290">
        <f>IFERROR(MAX(0,Tabel2640[[#This Row],[Tot. nieuw CO2 (kg)]]-MIN(IF(Tabel2640[[#This Row],[Tot. hergebruik CO2 (kg)]]=0,999999,Tabel2640[[#This Row],[Tot. hergebruik CO2 (kg)]]),IF(Tabel2640[[#This Row],[Tot. recycling Co2 (kg)]]=0,999999,Tabel2640[[#This Row],[Tot. recycling Co2 (kg)]]))),0)</f>
        <v/>
      </c>
      <c r="Q18" s="291">
        <f>IF(OR($M17="",$M17=0),"Geen beoordeling",IF(AND($N18=0,$O18=0),"Geen beoordeling",IF($N18&lt;$O18,"Hergebruik",IF($O18&lt;$N18,"Recycling","Hergebruik en recycling gelijk"))))</f>
        <v/>
      </c>
      <c r="R18" s="286">
        <f>IFERROR(Tabel2640[[#This Row],[BIM-volume m³]]*Tabel2640[[#This Row],[PRR]],0)</f>
        <v/>
      </c>
      <c r="S18" s="400">
        <f>IFERROR(VLOOKUP(Tabel2640[[#This Row],[Klasse]],Staal!$A$12:$D$15,4,FALSE),0)</f>
        <v/>
      </c>
      <c r="T18" s="399">
        <f>Tabel2640[[#This Row],[Praktisch terugwinbaar volume m³]]*Tabel2640[[#This Row],[Verkoopprijs per m³]]</f>
        <v/>
      </c>
      <c r="U18" s="287">
        <f>IF(OR($L18="Handmatig beoordelen",$L18="",$L18="Totaal",$I18=""),"Handmatig",IF($I18&gt;=50%,"Ja","Nee"))</f>
        <v/>
      </c>
      <c r="V18" s="287">
        <f>IF(OR($L18="Handmatig beoordelen",$L18="",$L18="Totaal",$Q18=""),"Handmatig",IF(OR($Q18="Hergebruik",$Q18="Recycling",$Q18="Hergebruik en recycling",$Q18="Hergebruik en recycling gelijk"),"Ja","Nee"))</f>
        <v/>
      </c>
      <c r="W18" s="287">
        <f>IF(OR($L18="Handmatig beoordelen",$L18="",$L18="Totaal"),"Handmatig",IF($T18&gt;0,"Ja","Nee"))</f>
        <v/>
      </c>
      <c r="X18" s="333">
        <f>IF(OR($U18="Handmatig",$V18="Handmatig",$W18="Handmatig"),"Handmatig beoordelen",IF(COUNTIF($U18:$W18,"Ja")&gt;=2,"Interessant",IF(COUNTIF($U18:$W18,"Ja")=1,"Eigen beoordeling","Niet interessant")))</f>
        <v/>
      </c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1" t="n"/>
      <c r="AI18" s="301" t="n"/>
    </row>
    <row r="19">
      <c r="A19" s="337" t="inlineStr">
        <is>
          <t>Staal</t>
        </is>
      </c>
      <c r="B19" s="285" t="inlineStr">
        <is>
          <t>Deuren</t>
        </is>
      </c>
      <c r="C19" s="275">
        <f>'Staal-data'!B6</f>
        <v/>
      </c>
      <c r="D19" s="277" t="n">
        <v>4</v>
      </c>
      <c r="E19" s="276" t="n">
        <v>20</v>
      </c>
      <c r="F19" s="279" t="n">
        <v>5</v>
      </c>
      <c r="G19" s="279" t="n">
        <v>3</v>
      </c>
      <c r="H19" s="279" t="n">
        <v>5</v>
      </c>
      <c r="I19" s="288">
        <f>IFERROR(ROUND(AVERAGE(Tabel2640[[#This Row],[Demonteerbaarheid]],Tabel2640[[#This Row],[Materiaalconditie ]],Tabel2640[[#This Row],[Marktpotentie ]])/5,2),0)</f>
        <v/>
      </c>
      <c r="J19" s="287">
        <f>IF(Tabel2640[[#This Row],[PRR]]="","Handmatig beoordelen",IF(Tabel2640[[#This Row],[PRR]]&gt;=0.75,"Hergebruik",IF(Tabel2640[[#This Row],[PRR]]&gt;=0.4,"Hergebruik &gt; recycling",IF(Tabel2640[[#This Row],[PRR]]&gt;=0.15,"Recycling","Handmatig beoordelen"))))</f>
        <v/>
      </c>
      <c r="K19" s="287">
        <f>IF(Tabel2640[[#This Row],[Routeadvies]]="Hergebruik","&gt;= 0,75",IF(Tabel2640[[#This Row],[Routeadvies]]="Hergebruik &gt; recycling","&gt;= 0,4 en &lt; 0,75",IF(Tabel2640[[#This Row],[Routeadvies]]="Recycling","&gt;= 0,15 en &lt; 0,4",IF(Tabel2640[[#This Row],[Routeadvies]]="Handmatig beoordelen","&lt; 0,15 of geen score",""))))</f>
        <v/>
      </c>
      <c r="L19" s="287">
        <f>IF($B19="Totaal","Totaal",IF(OR($B19="deuren",$B19="Balken",$B19="Liggers",$B19="Buisstaalconstructies",$B19="Kozijnen",$B19="Trappen",$B19="Hekwerken",$B19="Leuningen",$B19="ramen"),"Bijzonder staal",IF($G19="","Handmatig beoordelen",IF($G19&gt;=4,"A-staal",IF($G19&gt;=2,"B-staal",IF($G19&gt;0,"C-staal","Handmatig beoordelen"))))))</f>
        <v/>
      </c>
      <c r="M19" s="290">
        <f>IFERROR(Tabel2640[[#This Row],[BIM-volume m³]]*INDEX(Tabel17[CO2-nieuw (kg)],1)+Tabel2640[[#This Row],[BIM-volume m³]]*Tabel2640[[#This Row],[Transport Impact]]*IF(Tabel2640[[#This Row],[Transportafstand (km)]]="",0,Tabel2640[[#This Row],[Transportafstand (km)]]),0)</f>
        <v/>
      </c>
      <c r="N19" s="287">
        <f>IFERROR(Tabel2640[[#This Row],[BIM-volume m³]]*INDEX(Tabel17[CO2-Hergebruik (kg)],1)+Tabel2640[[#This Row],[BIM-volume m³]]*Tabel2640[[#This Row],[Transportafstand (km)]]*Tabel2640[[#This Row],[Transport Impact]],0)</f>
        <v/>
      </c>
      <c r="O19" s="287">
        <f>IFERROR(Tabel2640[[#This Row],[BIM-volume m³]]*Staal!$O$3+Tabel2640[[#This Row],[BIM-volume m³]]*Tabel2640[[#This Row],[Transport Impact]]*IF(Tabel2640[[#This Row],[Transportafstand (km)]]="",0,Tabel2640[[#This Row],[Transportafstand (km)]]),0)</f>
        <v/>
      </c>
      <c r="P19" s="290">
        <f>IFERROR(MAX(0,Tabel2640[[#This Row],[Tot. nieuw CO2 (kg)]]-MIN(IF(Tabel2640[[#This Row],[Tot. hergebruik CO2 (kg)]]=0,999999,Tabel2640[[#This Row],[Tot. hergebruik CO2 (kg)]]),IF(Tabel2640[[#This Row],[Tot. recycling Co2 (kg)]]=0,999999,Tabel2640[[#This Row],[Tot. recycling Co2 (kg)]]))),0)</f>
        <v/>
      </c>
      <c r="Q19" s="291">
        <f>IF(OR($M18="",$M18=0),"Geen beoordeling",IF(AND($N19=0,$O19=0),"Geen beoordeling",IF($N19&lt;$O19,"Hergebruik",IF($O19&lt;$N19,"Recycling","Hergebruik en recycling gelijk"))))</f>
        <v/>
      </c>
      <c r="R19" s="286">
        <f>IFERROR(Tabel2640[[#This Row],[BIM-volume m³]]*Tabel2640[[#This Row],[PRR]],0)</f>
        <v/>
      </c>
      <c r="S19" s="400">
        <f>IFERROR(VLOOKUP(Tabel2640[[#This Row],[Klasse]],Staal!$A$12:$D$15,4,FALSE),0)</f>
        <v/>
      </c>
      <c r="T19" s="399">
        <f>Tabel2640[[#This Row],[Praktisch terugwinbaar volume m³]]*Tabel2640[[#This Row],[Verkoopprijs per m³]]</f>
        <v/>
      </c>
      <c r="U19" s="287">
        <f>IF(OR($L19="Handmatig beoordelen",$L19="",$L19="Totaal",$I19=""),"Handmatig",IF($I19&gt;=50%,"Ja","Nee"))</f>
        <v/>
      </c>
      <c r="V19" s="287">
        <f>IF(OR($L19="Handmatig beoordelen",$L19="",$L19="Totaal",$Q19=""),"Handmatig",IF(OR($Q19="Hergebruik",$Q19="Recycling",$Q19="Hergebruik en recycling",$Q19="Hergebruik en recycling gelijk"),"Ja","Nee"))</f>
        <v/>
      </c>
      <c r="W19" s="287">
        <f>IF(OR($L19="Handmatig beoordelen",$L19="",$L19="Totaal"),"Handmatig",IF($T19&gt;0,"Ja","Nee"))</f>
        <v/>
      </c>
      <c r="X19" s="333">
        <f>IF(OR($U19="Handmatig",$V19="Handmatig",$W19="Handmatig"),"Handmatig beoordelen",IF(COUNTIF($U19:$W19,"Ja")&gt;=2,"Interessant",IF(COUNTIF($U19:$W19,"Ja")=1,"Eigen beoordeling","Niet interessant")))</f>
        <v/>
      </c>
      <c r="Y19" s="301" t="n"/>
      <c r="Z19" s="301" t="n"/>
      <c r="AA19" s="301" t="n"/>
      <c r="AB19" s="301" t="n"/>
      <c r="AC19" s="301" t="n"/>
      <c r="AD19" s="301" t="n"/>
      <c r="AE19" s="301" t="n"/>
      <c r="AF19" s="301" t="n"/>
      <c r="AG19" s="301" t="n"/>
      <c r="AH19" s="301" t="n"/>
      <c r="AI19" s="301" t="n"/>
    </row>
    <row r="20">
      <c r="A20" s="337" t="inlineStr">
        <is>
          <t>Staal</t>
        </is>
      </c>
      <c r="B20" s="285" t="inlineStr">
        <is>
          <t>Vloeren</t>
        </is>
      </c>
      <c r="C20" s="275">
        <f>'Staal-data'!B7</f>
        <v/>
      </c>
      <c r="D20" s="277" t="n">
        <v>4</v>
      </c>
      <c r="E20" s="276" t="n">
        <v>20</v>
      </c>
      <c r="F20" s="279" t="n">
        <v>1</v>
      </c>
      <c r="G20" s="279" t="n">
        <v>2</v>
      </c>
      <c r="H20" s="279" t="n">
        <v>3</v>
      </c>
      <c r="I20" s="288">
        <f>IFERROR(ROUND(AVERAGE(Tabel2640[[#This Row],[Demonteerbaarheid]],Tabel2640[[#This Row],[Materiaalconditie ]],Tabel2640[[#This Row],[Marktpotentie ]])/5,2),0)</f>
        <v/>
      </c>
      <c r="J20" s="287">
        <f>IF(Tabel2640[[#This Row],[PRR]]="","Handmatig beoordelen",IF(Tabel2640[[#This Row],[PRR]]&gt;=0.75,"Hergebruik",IF(Tabel2640[[#This Row],[PRR]]&gt;=0.4,"Hergebruik &gt; recycling",IF(Tabel2640[[#This Row],[PRR]]&gt;=0.15,"Recycling","Handmatig beoordelen"))))</f>
        <v/>
      </c>
      <c r="K20" s="287">
        <f>IF(Tabel2640[[#This Row],[Routeadvies]]="Hergebruik","&gt;= 0,75",IF(Tabel2640[[#This Row],[Routeadvies]]="Hergebruik &gt; recycling","&gt;= 0,4 en &lt; 0,75",IF(Tabel2640[[#This Row],[Routeadvies]]="Recycling","&gt;= 0,15 en &lt; 0,4",IF(Tabel2640[[#This Row],[Routeadvies]]="Handmatig beoordelen","&lt; 0,15 of geen score",""))))</f>
        <v/>
      </c>
      <c r="L20" s="287">
        <f>IF($B20="Totaal","Totaal",IF(OR($B20="deuren",$B20="Balken",$B20="Liggers",$B20="Buisstaalconstructies",$B20="Kozijnen",$B20="Trappen",$B20="Hekwerken",$B20="Leuningen",$B20="ramen"),"Bijzonder staal",IF($G20="","Handmatig beoordelen",IF($G20&gt;=4,"A-staal",IF($G20&gt;=2,"B-staal",IF($G20&gt;0,"C-staal","Handmatig beoordelen"))))))</f>
        <v/>
      </c>
      <c r="M20" s="290">
        <f>IFERROR(Tabel2640[[#This Row],[BIM-volume m³]]*INDEX(Tabel17[CO2-nieuw (kg)],1)+Tabel2640[[#This Row],[BIM-volume m³]]*Tabel2640[[#This Row],[Transport Impact]]*IF(Tabel2640[[#This Row],[Transportafstand (km)]]="",0,Tabel2640[[#This Row],[Transportafstand (km)]]),0)</f>
        <v/>
      </c>
      <c r="N20" s="287">
        <f>IFERROR(Tabel2640[[#This Row],[BIM-volume m³]]*INDEX(Tabel17[CO2-Hergebruik (kg)],1)+Tabel2640[[#This Row],[BIM-volume m³]]*Tabel2640[[#This Row],[Transportafstand (km)]]*Tabel2640[[#This Row],[Transport Impact]],0)</f>
        <v/>
      </c>
      <c r="O20" s="287">
        <f>IFERROR(Tabel2640[[#This Row],[BIM-volume m³]]*Staal!$O$3+Tabel2640[[#This Row],[BIM-volume m³]]*Tabel2640[[#This Row],[Transport Impact]]*IF(Tabel2640[[#This Row],[Transportafstand (km)]]="",0,Tabel2640[[#This Row],[Transportafstand (km)]]),0)</f>
        <v/>
      </c>
      <c r="P20" s="290">
        <f>IFERROR(MAX(0,Tabel2640[[#This Row],[Tot. nieuw CO2 (kg)]]-MIN(IF(Tabel2640[[#This Row],[Tot. hergebruik CO2 (kg)]]=0,999999,Tabel2640[[#This Row],[Tot. hergebruik CO2 (kg)]]),IF(Tabel2640[[#This Row],[Tot. recycling Co2 (kg)]]=0,999999,Tabel2640[[#This Row],[Tot. recycling Co2 (kg)]]))),0)</f>
        <v/>
      </c>
      <c r="Q20" s="291">
        <f>IF(OR($M19="",$M19=0),"Geen beoordeling",IF(AND($N20=0,$O20=0),"Geen beoordeling",IF($N20&lt;$O20,"Hergebruik",IF($O20&lt;$N20,"Recycling","Hergebruik en recycling gelijk"))))</f>
        <v/>
      </c>
      <c r="R20" s="286">
        <f>IFERROR(Tabel2640[[#This Row],[BIM-volume m³]]*Tabel2640[[#This Row],[PRR]],0)</f>
        <v/>
      </c>
      <c r="S20" s="400">
        <f>IFERROR(VLOOKUP(Tabel2640[[#This Row],[Klasse]],Staal!$A$12:$D$15,4,FALSE),0)</f>
        <v/>
      </c>
      <c r="T20" s="399">
        <f>Tabel2640[[#This Row],[Praktisch terugwinbaar volume m³]]*Tabel2640[[#This Row],[Verkoopprijs per m³]]</f>
        <v/>
      </c>
      <c r="U20" s="287">
        <f>IF(OR($L20="Handmatig beoordelen",$L20="",$L20="Totaal",$I20=""),"Handmatig",IF($I20&gt;=50%,"Ja","Nee"))</f>
        <v/>
      </c>
      <c r="V20" s="287">
        <f>IF(OR($L20="Handmatig beoordelen",$L20="",$L20="Totaal",$Q20=""),"Handmatig",IF(OR($Q20="Hergebruik",$Q20="Recycling",$Q20="Hergebruik en recycling",$Q20="Hergebruik en recycling gelijk"),"Ja","Nee"))</f>
        <v/>
      </c>
      <c r="W20" s="287">
        <f>IF(OR($L20="Handmatig beoordelen",$L20="",$L20="Totaal"),"Handmatig",IF($T20&gt;0,"Ja","Nee"))</f>
        <v/>
      </c>
      <c r="X20" s="333">
        <f>IF(OR($U20="Handmatig",$V20="Handmatig",$W20="Handmatig"),"Handmatig beoordelen",IF(COUNTIF($U20:$W20,"Ja")&gt;=2,"Interessant",IF(COUNTIF($U20:$W20,"Ja")=1,"Eigen beoordeling","Niet interessant")))</f>
        <v/>
      </c>
      <c r="Y20" s="301" t="n"/>
      <c r="Z20" s="301" t="n"/>
      <c r="AA20" s="301" t="n"/>
      <c r="AB20" s="301" t="n"/>
      <c r="AC20" s="301" t="n"/>
      <c r="AD20" s="301" t="n"/>
      <c r="AE20" s="301" t="n"/>
      <c r="AF20" s="301" t="n"/>
      <c r="AG20" s="301" t="n"/>
      <c r="AH20" s="301" t="n"/>
      <c r="AI20" s="301" t="n"/>
    </row>
    <row r="21">
      <c r="A21" s="337" t="inlineStr">
        <is>
          <t>Staal</t>
        </is>
      </c>
      <c r="B21" s="285" t="inlineStr">
        <is>
          <t>Daken</t>
        </is>
      </c>
      <c r="C21" s="275">
        <f>'Staal-data'!B8</f>
        <v/>
      </c>
      <c r="D21" s="277" t="n">
        <v>4</v>
      </c>
      <c r="E21" s="276" t="n">
        <v>20</v>
      </c>
      <c r="F21" s="279" t="n">
        <v>5</v>
      </c>
      <c r="G21" s="279" t="n">
        <v>3</v>
      </c>
      <c r="H21" s="279" t="n">
        <v>2</v>
      </c>
      <c r="I21" s="288">
        <f>IFERROR(ROUND(AVERAGE(Tabel2640[[#This Row],[Demonteerbaarheid]],Tabel2640[[#This Row],[Materiaalconditie ]],Tabel2640[[#This Row],[Marktpotentie ]])/5,2),0)</f>
        <v/>
      </c>
      <c r="J21" s="287">
        <f>IF(Tabel2640[[#This Row],[PRR]]="","Handmatig beoordelen",IF(Tabel2640[[#This Row],[PRR]]&gt;=0.75,"Hergebruik",IF(Tabel2640[[#This Row],[PRR]]&gt;=0.4,"Hergebruik &gt; recycling",IF(Tabel2640[[#This Row],[PRR]]&gt;=0.15,"Recycling","Handmatig beoordelen"))))</f>
        <v/>
      </c>
      <c r="K21" s="287">
        <f>IF(Tabel2640[[#This Row],[Routeadvies]]="Hergebruik","&gt;= 0,75",IF(Tabel2640[[#This Row],[Routeadvies]]="Hergebruik &gt; recycling","&gt;= 0,4 en &lt; 0,75",IF(Tabel2640[[#This Row],[Routeadvies]]="Recycling","&gt;= 0,15 en &lt; 0,4",IF(Tabel2640[[#This Row],[Routeadvies]]="Handmatig beoordelen","&lt; 0,15 of geen score",""))))</f>
        <v/>
      </c>
      <c r="L21" s="287">
        <f>IF($B21="Totaal","Totaal",IF(OR($B21="deuren",$B21="Balken",$B21="Liggers",$B21="Buisstaalconstructies",$B21="Kozijnen",$B21="Trappen",$B21="Hekwerken",$B21="Leuningen",$B21="ramen"),"Bijzonder staal",IF($G21="","Handmatig beoordelen",IF($G21&gt;=4,"A-staal",IF($G21&gt;=2,"B-staal",IF($G21&gt;0,"C-staal","Handmatig beoordelen"))))))</f>
        <v/>
      </c>
      <c r="M21" s="290">
        <f>IFERROR(Tabel2640[[#This Row],[BIM-volume m³]]*INDEX(Tabel17[CO2-nieuw (kg)],1)+Tabel2640[[#This Row],[BIM-volume m³]]*Tabel2640[[#This Row],[Transport Impact]]*IF(Tabel2640[[#This Row],[Transportafstand (km)]]="",0,Tabel2640[[#This Row],[Transportafstand (km)]]),0)</f>
        <v/>
      </c>
      <c r="N21" s="287">
        <f>IFERROR(Tabel2640[[#This Row],[BIM-volume m³]]*INDEX(Tabel17[CO2-Hergebruik (kg)],1)+Tabel2640[[#This Row],[BIM-volume m³]]*Tabel2640[[#This Row],[Transportafstand (km)]]*Tabel2640[[#This Row],[Transport Impact]],0)</f>
        <v/>
      </c>
      <c r="O21" s="287">
        <f>IFERROR(Tabel2640[[#This Row],[BIM-volume m³]]*Staal!$O$3+Tabel2640[[#This Row],[BIM-volume m³]]*Tabel2640[[#This Row],[Transport Impact]]*IF(Tabel2640[[#This Row],[Transportafstand (km)]]="",0,Tabel2640[[#This Row],[Transportafstand (km)]]),0)</f>
        <v/>
      </c>
      <c r="P21" s="290">
        <f>IFERROR(MAX(0,Tabel2640[[#This Row],[Tot. nieuw CO2 (kg)]]-MIN(IF(Tabel2640[[#This Row],[Tot. hergebruik CO2 (kg)]]=0,999999,Tabel2640[[#This Row],[Tot. hergebruik CO2 (kg)]]),IF(Tabel2640[[#This Row],[Tot. recycling Co2 (kg)]]=0,999999,Tabel2640[[#This Row],[Tot. recycling Co2 (kg)]]))),0)</f>
        <v/>
      </c>
      <c r="Q21" s="291">
        <f>IF(OR($M20="",$M20=0),"Geen beoordeling",IF(AND($N21=0,$O21=0),"Geen beoordeling",IF($N21&lt;$O21,"Hergebruik",IF($O21&lt;$N21,"Recycling","Hergebruik en recycling gelijk"))))</f>
        <v/>
      </c>
      <c r="R21" s="286">
        <f>IFERROR(Tabel2640[[#This Row],[BIM-volume m³]]*Tabel2640[[#This Row],[PRR]],0)</f>
        <v/>
      </c>
      <c r="S21" s="400">
        <f>IFERROR(VLOOKUP(Tabel2640[[#This Row],[Klasse]],Staal!$A$12:$D$15,4,FALSE),0)</f>
        <v/>
      </c>
      <c r="T21" s="399">
        <f>Tabel2640[[#This Row],[Praktisch terugwinbaar volume m³]]*Tabel2640[[#This Row],[Verkoopprijs per m³]]</f>
        <v/>
      </c>
      <c r="U21" s="287">
        <f>IF(OR($L21="Handmatig beoordelen",$L21="",$L21="Totaal",$I21=""),"Handmatig",IF($I21&gt;=50%,"Ja","Nee"))</f>
        <v/>
      </c>
      <c r="V21" s="287">
        <f>IF(OR($L21="Handmatig beoordelen",$L21="",$L21="Totaal",$Q21=""),"Handmatig",IF(OR($Q21="Hergebruik",$Q21="Recycling",$Q21="Hergebruik en recycling",$Q21="Hergebruik en recycling gelijk"),"Ja","Nee"))</f>
        <v/>
      </c>
      <c r="W21" s="287">
        <f>IF(OR($L21="Handmatig beoordelen",$L21="",$L21="Totaal"),"Handmatig",IF($T21&gt;0,"Ja","Nee"))</f>
        <v/>
      </c>
      <c r="X21" s="333">
        <f>IF(OR($U21="Handmatig",$V21="Handmatig",$W21="Handmatig"),"Handmatig beoordelen",IF(COUNTIF($U21:$W21,"Ja")&gt;=2,"Interessant",IF(COUNTIF($U21:$W21,"Ja")=1,"Eigen beoordeling","Niet interessant")))</f>
        <v/>
      </c>
      <c r="Y21" s="301" t="n"/>
      <c r="Z21" s="301" t="n"/>
      <c r="AA21" s="301" t="n"/>
      <c r="AB21" s="301" t="n"/>
      <c r="AC21" s="301" t="n"/>
      <c r="AD21" s="301" t="n"/>
      <c r="AE21" s="301" t="n"/>
      <c r="AF21" s="301" t="n"/>
      <c r="AG21" s="301" t="n"/>
      <c r="AH21" s="301" t="n"/>
      <c r="AI21" s="301" t="n"/>
    </row>
    <row r="22">
      <c r="A22" s="337" t="inlineStr">
        <is>
          <t>Staal</t>
        </is>
      </c>
      <c r="B22" s="285" t="inlineStr">
        <is>
          <t>Wanden</t>
        </is>
      </c>
      <c r="C22" s="275">
        <f>'Staal-data'!B9</f>
        <v/>
      </c>
      <c r="D22" s="277" t="n">
        <v>4</v>
      </c>
      <c r="E22" s="276" t="n">
        <v>20</v>
      </c>
      <c r="F22" s="279" t="n">
        <v>1</v>
      </c>
      <c r="G22" s="279" t="n">
        <v>2</v>
      </c>
      <c r="H22" s="279" t="n">
        <v>4</v>
      </c>
      <c r="I22" s="288">
        <f>IFERROR(ROUND(AVERAGE(Tabel2640[[#This Row],[Demonteerbaarheid]],Tabel2640[[#This Row],[Materiaalconditie ]],Tabel2640[[#This Row],[Marktpotentie ]])/5,2),0)</f>
        <v/>
      </c>
      <c r="J22" s="287">
        <f>IF(Tabel2640[[#This Row],[PRR]]="","Handmatig beoordelen",IF(Tabel2640[[#This Row],[PRR]]&gt;=0.75,"Hergebruik",IF(Tabel2640[[#This Row],[PRR]]&gt;=0.4,"Hergebruik &gt; recycling",IF(Tabel2640[[#This Row],[PRR]]&gt;=0.15,"Recycling","Handmatig beoordelen"))))</f>
        <v/>
      </c>
      <c r="K22" s="287">
        <f>IF(Tabel2640[[#This Row],[Routeadvies]]="Hergebruik","&gt;= 0,75",IF(Tabel2640[[#This Row],[Routeadvies]]="Hergebruik &gt; recycling","&gt;= 0,4 en &lt; 0,75",IF(Tabel2640[[#This Row],[Routeadvies]]="Recycling","&gt;= 0,15 en &lt; 0,4",IF(Tabel2640[[#This Row],[Routeadvies]]="Handmatig beoordelen","&lt; 0,15 of geen score",""))))</f>
        <v/>
      </c>
      <c r="L22" s="287">
        <f>IF($B22="Totaal","Totaal",IF(OR($B22="deuren",$B22="Balken",$B22="Liggers",$B22="Buisstaalconstructies",$B22="Kozijnen",$B22="Trappen",$B22="Hekwerken",$B22="Leuningen",$B22="ramen"),"Bijzonder staal",IF($G22="","Handmatig beoordelen",IF($G22&gt;=4,"A-staal",IF($G22&gt;=2,"B-staal",IF($G22&gt;0,"C-staal","Handmatig beoordelen"))))))</f>
        <v/>
      </c>
      <c r="M22" s="290">
        <f>IFERROR(Tabel2640[[#This Row],[BIM-volume m³]]*INDEX(Tabel17[CO2-nieuw (kg)],1)+Tabel2640[[#This Row],[BIM-volume m³]]*Tabel2640[[#This Row],[Transport Impact]]*IF(Tabel2640[[#This Row],[Transportafstand (km)]]="",0,Tabel2640[[#This Row],[Transportafstand (km)]]),0)</f>
        <v/>
      </c>
      <c r="N22" s="287">
        <f>IFERROR(Tabel2640[[#This Row],[BIM-volume m³]]*INDEX(Tabel17[CO2-Hergebruik (kg)],1)+Tabel2640[[#This Row],[BIM-volume m³]]*Tabel2640[[#This Row],[Transportafstand (km)]]*Tabel2640[[#This Row],[Transport Impact]],0)</f>
        <v/>
      </c>
      <c r="O22" s="287">
        <f>IFERROR(Tabel2640[[#This Row],[BIM-volume m³]]*Staal!$O$3+Tabel2640[[#This Row],[BIM-volume m³]]*Tabel2640[[#This Row],[Transport Impact]]*IF(Tabel2640[[#This Row],[Transportafstand (km)]]="",0,Tabel2640[[#This Row],[Transportafstand (km)]]),0)</f>
        <v/>
      </c>
      <c r="P22" s="290">
        <f>IFERROR(MAX(0,Tabel2640[[#This Row],[Tot. nieuw CO2 (kg)]]-MIN(IF(Tabel2640[[#This Row],[Tot. hergebruik CO2 (kg)]]=0,999999,Tabel2640[[#This Row],[Tot. hergebruik CO2 (kg)]]),IF(Tabel2640[[#This Row],[Tot. recycling Co2 (kg)]]=0,999999,Tabel2640[[#This Row],[Tot. recycling Co2 (kg)]]))),0)</f>
        <v/>
      </c>
      <c r="Q22" s="291">
        <f>IF(OR($M21="",$M21=0),"Geen beoordeling",IF(AND($N22=0,$O22=0),"Geen beoordeling",IF($N22&lt;$O22,"Hergebruik",IF($O22&lt;$N22,"Recycling","Hergebruik en recycling gelijk"))))</f>
        <v/>
      </c>
      <c r="R22" s="286">
        <f>IFERROR(Tabel2640[[#This Row],[BIM-volume m³]]*Tabel2640[[#This Row],[PRR]],0)</f>
        <v/>
      </c>
      <c r="S22" s="400">
        <f>IFERROR(VLOOKUP(Tabel2640[[#This Row],[Klasse]],Staal!$A$12:$D$15,4,FALSE),0)</f>
        <v/>
      </c>
      <c r="T22" s="399">
        <f>Tabel2640[[#This Row],[Praktisch terugwinbaar volume m³]]*Tabel2640[[#This Row],[Verkoopprijs per m³]]</f>
        <v/>
      </c>
      <c r="U22" s="287">
        <f>IF(OR($L22="Handmatig beoordelen",$L22="",$L22="Totaal",$I22=""),"Handmatig",IF($I22&gt;=50%,"Ja","Nee"))</f>
        <v/>
      </c>
      <c r="V22" s="287">
        <f>IF(OR($L22="Handmatig beoordelen",$L22="",$L22="Totaal",$Q22=""),"Handmatig",IF(OR($Q22="Hergebruik",$Q22="Recycling",$Q22="Hergebruik en recycling",$Q22="Hergebruik en recycling gelijk"),"Ja","Nee"))</f>
        <v/>
      </c>
      <c r="W22" s="287">
        <f>IF(OR($L22="Handmatig beoordelen",$L22="",$L22="Totaal"),"Handmatig",IF($T22&gt;0,"Ja","Nee"))</f>
        <v/>
      </c>
      <c r="X22" s="333">
        <f>IF(OR($U22="Handmatig",$V22="Handmatig",$W22="Handmatig"),"Handmatig beoordelen",IF(COUNTIF($U22:$W22,"Ja")&gt;=2,"Interessant",IF(COUNTIF($U22:$W22,"Ja")=1,"Eigen beoordeling","Niet interessant")))</f>
        <v/>
      </c>
      <c r="Y22" s="301" t="n"/>
      <c r="Z22" s="301" t="n"/>
      <c r="AA22" s="301" t="n"/>
      <c r="AB22" s="301" t="n"/>
      <c r="AC22" s="301" t="n"/>
      <c r="AD22" s="301" t="n"/>
      <c r="AE22" s="301" t="n"/>
      <c r="AF22" s="301" t="n"/>
      <c r="AG22" s="301" t="n"/>
      <c r="AH22" s="301" t="n"/>
      <c r="AI22" s="301" t="n"/>
    </row>
    <row r="23">
      <c r="A23" s="337" t="inlineStr">
        <is>
          <t>Staal</t>
        </is>
      </c>
      <c r="B23" s="285" t="inlineStr">
        <is>
          <t>Ramen</t>
        </is>
      </c>
      <c r="C23" s="275">
        <f>'Staal-data'!B10</f>
        <v/>
      </c>
      <c r="D23" s="277" t="n">
        <v>4</v>
      </c>
      <c r="E23" s="276" t="n">
        <v>20</v>
      </c>
      <c r="F23" s="279" t="n">
        <v>5</v>
      </c>
      <c r="G23" s="279" t="n">
        <v>2</v>
      </c>
      <c r="H23" s="279" t="n">
        <v>2</v>
      </c>
      <c r="I23" s="288">
        <f>IFERROR(ROUND(AVERAGE(Tabel2640[[#This Row],[Demonteerbaarheid]],Tabel2640[[#This Row],[Materiaalconditie ]],Tabel2640[[#This Row],[Marktpotentie ]])/5,2),0)</f>
        <v/>
      </c>
      <c r="J23" s="287">
        <f>IF(Tabel2640[[#This Row],[PRR]]="","Handmatig beoordelen",IF(Tabel2640[[#This Row],[PRR]]&gt;=0.75,"Hergebruik",IF(Tabel2640[[#This Row],[PRR]]&gt;=0.4,"Hergebruik &gt; recycling",IF(Tabel2640[[#This Row],[PRR]]&gt;=0.15,"Recycling","Handmatig beoordelen"))))</f>
        <v/>
      </c>
      <c r="K23" s="287">
        <f>IF(Tabel2640[[#This Row],[Routeadvies]]="Hergebruik","&gt;= 0,75",IF(Tabel2640[[#This Row],[Routeadvies]]="Hergebruik &gt; recycling","&gt;= 0,4 en &lt; 0,75",IF(Tabel2640[[#This Row],[Routeadvies]]="Recycling","&gt;= 0,15 en &lt; 0,4",IF(Tabel2640[[#This Row],[Routeadvies]]="Handmatig beoordelen","&lt; 0,15 of geen score",""))))</f>
        <v/>
      </c>
      <c r="L23" s="287">
        <f>IF($B23="Totaal","Totaal",IF(OR($B23="deuren",$B23="Balken",$B23="Liggers",$B23="Buisstaalconstructies",$B23="Kozijnen",$B23="Trappen",$B23="Hekwerken",$B23="Leuningen",$B23="ramen"),"Bijzonder staal",IF($G23="","Handmatig beoordelen",IF($G23&gt;=4,"A-staal",IF($G23&gt;=2,"B-staal",IF($G23&gt;0,"C-staal","Handmatig beoordelen"))))))</f>
        <v/>
      </c>
      <c r="M23" s="290">
        <f>IFERROR(Tabel2640[[#This Row],[BIM-volume m³]]*INDEX(Tabel17[CO2-nieuw (kg)],1)+Tabel2640[[#This Row],[BIM-volume m³]]*Tabel2640[[#This Row],[Transport Impact]]*IF(Tabel2640[[#This Row],[Transportafstand (km)]]="",0,Tabel2640[[#This Row],[Transportafstand (km)]]),0)</f>
        <v/>
      </c>
      <c r="N23" s="287">
        <f>IFERROR(Tabel2640[[#This Row],[BIM-volume m³]]*INDEX(Tabel17[CO2-Hergebruik (kg)],1)+Tabel2640[[#This Row],[BIM-volume m³]]*Tabel2640[[#This Row],[Transportafstand (km)]]*Tabel2640[[#This Row],[Transport Impact]],0)</f>
        <v/>
      </c>
      <c r="O23" s="287">
        <f>IFERROR(Tabel2640[[#This Row],[BIM-volume m³]]*Staal!$O$3+Tabel2640[[#This Row],[BIM-volume m³]]*Tabel2640[[#This Row],[Transport Impact]]*IF(Tabel2640[[#This Row],[Transportafstand (km)]]="",0,Tabel2640[[#This Row],[Transportafstand (km)]]),0)</f>
        <v/>
      </c>
      <c r="P23" s="290">
        <f>IFERROR(MAX(0,Tabel2640[[#This Row],[Tot. nieuw CO2 (kg)]]-MIN(IF(Tabel2640[[#This Row],[Tot. hergebruik CO2 (kg)]]=0,999999,Tabel2640[[#This Row],[Tot. hergebruik CO2 (kg)]]),IF(Tabel2640[[#This Row],[Tot. recycling Co2 (kg)]]=0,999999,Tabel2640[[#This Row],[Tot. recycling Co2 (kg)]]))),0)</f>
        <v/>
      </c>
      <c r="Q23" s="291">
        <f>IF(OR($M22="",$M22=0),"Geen beoordeling",IF(AND($N23=0,$O23=0),"Geen beoordeling",IF($N23&lt;$O23,"Hergebruik",IF($O23&lt;$N23,"Recycling","Hergebruik en recycling gelijk"))))</f>
        <v/>
      </c>
      <c r="R23" s="286">
        <f>IFERROR(Tabel2640[[#This Row],[BIM-volume m³]]*Tabel2640[[#This Row],[PRR]],0)</f>
        <v/>
      </c>
      <c r="S23" s="400">
        <f>IFERROR(VLOOKUP(Tabel2640[[#This Row],[Klasse]],Staal!$A$12:$D$15,4,FALSE),0)</f>
        <v/>
      </c>
      <c r="T23" s="399">
        <f>Tabel2640[[#This Row],[Praktisch terugwinbaar volume m³]]*Tabel2640[[#This Row],[Verkoopprijs per m³]]</f>
        <v/>
      </c>
      <c r="U23" s="287">
        <f>IF(OR($L23="Handmatig beoordelen",$L23="",$L23="Totaal",$I23=""),"Handmatig",IF($I23&gt;=50%,"Ja","Nee"))</f>
        <v/>
      </c>
      <c r="V23" s="287">
        <f>IF(OR($L23="Handmatig beoordelen",$L23="",$L23="Totaal",$Q23=""),"Handmatig",IF(OR($Q23="Hergebruik",$Q23="Recycling",$Q23="Hergebruik en recycling",$Q23="Hergebruik en recycling gelijk"),"Ja","Nee"))</f>
        <v/>
      </c>
      <c r="W23" s="287">
        <f>IF(OR($L23="Handmatig beoordelen",$L23="",$L23="Totaal"),"Handmatig",IF($T23&gt;0,"Ja","Nee"))</f>
        <v/>
      </c>
      <c r="X23" s="333">
        <f>IF(OR($U23="Handmatig",$V23="Handmatig",$W23="Handmatig"),"Handmatig beoordelen",IF(COUNTIF($U23:$W23,"Ja")&gt;=2,"Interessant",IF(COUNTIF($U23:$W23,"Ja")=1,"Eigen beoordeling","Niet interessant")))</f>
        <v/>
      </c>
      <c r="Y23" s="301" t="n"/>
      <c r="Z23" s="301" t="n"/>
      <c r="AA23" s="301" t="n"/>
      <c r="AB23" s="301" t="n"/>
      <c r="AC23" s="301" t="n"/>
      <c r="AD23" s="301" t="n"/>
      <c r="AE23" s="301" t="n"/>
      <c r="AF23" s="301" t="n"/>
      <c r="AG23" s="301" t="n"/>
      <c r="AH23" s="301" t="n"/>
      <c r="AI23" s="301" t="n"/>
    </row>
    <row r="24" customFormat="1" s="301">
      <c r="A24" s="339" t="inlineStr">
        <is>
          <t>Staal</t>
        </is>
      </c>
      <c r="B24" s="340" t="inlineStr">
        <is>
          <t>Trappen</t>
        </is>
      </c>
      <c r="C24" s="275">
        <f>'Staal-data'!B11</f>
        <v/>
      </c>
      <c r="D24" s="280" t="n">
        <v>4</v>
      </c>
      <c r="E24" s="276" t="n">
        <v>20</v>
      </c>
      <c r="F24" s="281" t="n">
        <v>5</v>
      </c>
      <c r="G24" s="281" t="n">
        <v>4</v>
      </c>
      <c r="H24" s="281" t="n">
        <v>5</v>
      </c>
      <c r="I24" s="341">
        <f>IFERROR(ROUND(AVERAGE(Tabel2640[[#This Row],[Demonteerbaarheid]],Tabel2640[[#This Row],[Materiaalconditie ]],Tabel2640[[#This Row],[Marktpotentie ]])/5,2),0)</f>
        <v/>
      </c>
      <c r="J24" s="287">
        <f>IF(Tabel2640[[#This Row],[PRR]]="","Handmatig beoordelen",IF(Tabel2640[[#This Row],[PRR]]&gt;=0.75,"Hergebruik",IF(Tabel2640[[#This Row],[PRR]]&gt;=0.4,"Hergebruik &gt; recycling",IF(Tabel2640[[#This Row],[PRR]]&gt;=0.15,"Recycling","Handmatig beoordelen"))))</f>
        <v/>
      </c>
      <c r="K24" s="287">
        <f>IF(Tabel2640[[#This Row],[Routeadvies]]="Hergebruik","&gt;= 0,75",IF(Tabel2640[[#This Row],[Routeadvies]]="Hergebruik &gt; recycling","&gt;= 0,4 en &lt; 0,75",IF(Tabel2640[[#This Row],[Routeadvies]]="Recycling","&gt;= 0,15 en &lt; 0,4",IF(Tabel2640[[#This Row],[Routeadvies]]="Handmatig beoordelen","&lt; 0,15 of geen score",""))))</f>
        <v/>
      </c>
      <c r="L24" s="287">
        <f>IF($B24="Totaal","Totaal",IF(OR($B24="deuren",$B24="Balken",$B24="Liggers",$B24="Buisstaalconstructies",$B24="Kozijnen",$B24="Trappen",$B24="Hekwerken",$B24="Leuningen",$B24="ramen"),"Bijzonder staal",IF($G24="","Handmatig beoordelen",IF($G24&gt;=4,"A-staal",IF($G24&gt;=2,"B-staal",IF($G24&gt;0,"C-staal","Handmatig beoordelen"))))))</f>
        <v/>
      </c>
      <c r="M24" s="348">
        <f>IFERROR(Tabel2640[[#This Row],[BIM-volume m³]]*INDEX(Tabel17[CO2-nieuw (kg)],1)+Tabel2640[[#This Row],[BIM-volume m³]]*Tabel2640[[#This Row],[Transport Impact]]*IF(Tabel2640[[#This Row],[Transportafstand (km)]]="",0,Tabel2640[[#This Row],[Transportafstand (km)]]),0)</f>
        <v/>
      </c>
      <c r="N24" s="287">
        <f>IFERROR(Tabel2640[[#This Row],[BIM-volume m³]]*INDEX(Tabel17[CO2-Hergebruik (kg)],1)+Tabel2640[[#This Row],[BIM-volume m³]]*Tabel2640[[#This Row],[Transportafstand (km)]]*Tabel2640[[#This Row],[Transport Impact]],0)</f>
        <v/>
      </c>
      <c r="O24" s="75">
        <f>IFERROR(Tabel2640[[#This Row],[BIM-volume m³]]*Staal!$O$3+Tabel2640[[#This Row],[BIM-volume m³]]*Tabel2640[[#This Row],[Transport Impact]]*IF(Tabel2640[[#This Row],[Transportafstand (km)]]="",0,Tabel2640[[#This Row],[Transportafstand (km)]]),0)</f>
        <v/>
      </c>
      <c r="P24" s="290">
        <f>IFERROR(MAX(0,Tabel2640[[#This Row],[Tot. nieuw CO2 (kg)]]-MIN(IF(Tabel2640[[#This Row],[Tot. hergebruik CO2 (kg)]]=0,999999,Tabel2640[[#This Row],[Tot. hergebruik CO2 (kg)]]),IF(Tabel2640[[#This Row],[Tot. recycling Co2 (kg)]]=0,999999,Tabel2640[[#This Row],[Tot. recycling Co2 (kg)]]))),0)</f>
        <v/>
      </c>
      <c r="Q24" s="342">
        <f>IF(OR($M23="",$M23=0),"Geen beoordeling",IF(AND($N24=0,$O24=0),"Geen beoordeling",IF($N24&lt;$O24,"Hergebruik",IF($O24&lt;$N24,"Recycling","Hergebruik en recycling gelijk"))))</f>
        <v/>
      </c>
      <c r="R24" s="286">
        <f>IFERROR(Tabel2640[[#This Row],[BIM-volume m³]]*Tabel2640[[#This Row],[PRR]],0)</f>
        <v/>
      </c>
      <c r="S24" s="400">
        <f>IFERROR(VLOOKUP(Tabel2640[[#This Row],[Klasse]],Staal!$A$12:$D$15,4,FALSE),0)</f>
        <v/>
      </c>
      <c r="T24" s="399">
        <f>Tabel2640[[#This Row],[Praktisch terugwinbaar volume m³]]*Tabel2640[[#This Row],[Verkoopprijs per m³]]</f>
        <v/>
      </c>
      <c r="U24" s="346">
        <f>IF(OR($L24="Handmatig beoordelen",$L24="",$L24="Totaal",$I24=""),"Handmatig",IF($I24&gt;=50%,"Ja","Nee"))</f>
        <v/>
      </c>
      <c r="V24" s="287">
        <f>IF(OR($L24="Handmatig beoordelen",$L24="",$L24="Totaal",$Q24=""),"Handmatig",IF(OR($Q24="Hergebruik",$Q24="Recycling",$Q24="Hergebruik en recycling",$Q24="Hergebruik en recycling gelijk"),"Ja","Nee"))</f>
        <v/>
      </c>
      <c r="W24" s="287">
        <f>IF(OR($L24="Handmatig beoordelen",$L24="",$L24="Totaal"),"Handmatig",IF($T24&gt;0,"Ja","Nee"))</f>
        <v/>
      </c>
      <c r="X24" s="333">
        <f>IF(OR($U24="Handmatig",$V24="Handmatig",$W24="Handmatig"),"Handmatig beoordelen",IF(COUNTIF($U24:$W24,"Ja")&gt;=2,"Interessant",IF(COUNTIF($U24:$W24,"Ja")=1,"Eigen beoordeling","Niet interessant")))</f>
        <v/>
      </c>
    </row>
    <row r="25">
      <c r="A25" s="301" t="n"/>
      <c r="B25" s="301" t="n"/>
      <c r="C25" s="301" t="n"/>
      <c r="D25" s="301" t="n"/>
      <c r="E25" s="301" t="n"/>
      <c r="F25" s="301" t="n"/>
      <c r="G25" s="301" t="n"/>
      <c r="H25" s="301" t="n"/>
      <c r="I25" s="301" t="n"/>
      <c r="J25" s="301" t="n"/>
      <c r="K25" s="301" t="n"/>
      <c r="L25" s="301" t="n"/>
      <c r="M25" s="301" t="n"/>
      <c r="N25" s="301" t="n"/>
      <c r="O25" s="301" t="n"/>
      <c r="P25" s="311" t="n"/>
      <c r="Q25" s="301" t="n"/>
      <c r="R25" s="301" t="n"/>
      <c r="S25" s="301" t="n"/>
      <c r="T25" s="301" t="n"/>
      <c r="U25" s="301" t="n"/>
      <c r="V25" s="301" t="n"/>
      <c r="W25" s="301" t="n"/>
      <c r="X25" s="301" t="n"/>
      <c r="Y25" s="301" t="n"/>
      <c r="Z25" s="301" t="n"/>
      <c r="AA25" s="301" t="n"/>
      <c r="AB25" s="301" t="n"/>
      <c r="AC25" s="301" t="n"/>
      <c r="AD25" s="301" t="n"/>
      <c r="AE25" s="301" t="n"/>
      <c r="AF25" s="301" t="n"/>
      <c r="AG25" s="301" t="n"/>
      <c r="AH25" s="301" t="n"/>
      <c r="AI25" s="301" t="n"/>
      <c r="AJ25" s="301" t="n"/>
      <c r="AK25" s="301" t="n"/>
      <c r="AL25" s="301" t="n"/>
    </row>
    <row r="26" ht="42.75" customHeight="1">
      <c r="A26" s="303" t="inlineStr">
        <is>
          <t>Materiaalstroom</t>
        </is>
      </c>
      <c r="B26" s="304" t="inlineStr">
        <is>
          <t xml:space="preserve"> Bouwdeel uit BIM</t>
        </is>
      </c>
      <c r="C26" s="304" t="inlineStr">
        <is>
          <t>BIM-volume m³</t>
        </is>
      </c>
      <c r="D26" s="366" t="inlineStr">
        <is>
          <t>Transport Impact</t>
        </is>
      </c>
      <c r="E26" s="366" t="inlineStr">
        <is>
          <t>Transportafstand (km)</t>
        </is>
      </c>
      <c r="F26" s="367" t="inlineStr">
        <is>
          <t>Demonteerbaarheid</t>
        </is>
      </c>
      <c r="G26" s="367" t="inlineStr">
        <is>
          <t xml:space="preserve">Materiaalconditie </t>
        </is>
      </c>
      <c r="H26" s="367" t="inlineStr">
        <is>
          <t xml:space="preserve">Marktpotentie </t>
        </is>
      </c>
      <c r="I26" s="304" t="inlineStr">
        <is>
          <t>PRR</t>
        </is>
      </c>
      <c r="J26" s="304" t="inlineStr">
        <is>
          <t>Routeadvies</t>
        </is>
      </c>
      <c r="K26" s="304" t="inlineStr">
        <is>
          <t>Grenswaarde</t>
        </is>
      </c>
      <c r="L26" s="304" t="inlineStr">
        <is>
          <t>Klasse</t>
        </is>
      </c>
      <c r="M26" s="305" t="inlineStr">
        <is>
          <t>Tot. nieuw CO2 (kg)</t>
        </is>
      </c>
      <c r="N26" s="304" t="inlineStr">
        <is>
          <t>Tot. hergebruik CO2 (kg)</t>
        </is>
      </c>
      <c r="O26" s="304" t="inlineStr">
        <is>
          <t>Tot. recycling Co2 (kg)</t>
        </is>
      </c>
      <c r="P26" s="306" t="inlineStr">
        <is>
          <t>Klimaatbesparing kg CO₂</t>
        </is>
      </c>
      <c r="Q26" s="304" t="inlineStr">
        <is>
          <t>Routeadvies 2</t>
        </is>
      </c>
      <c r="R26" s="304" t="inlineStr">
        <is>
          <t>Praktisch terugwinbaar volume m³</t>
        </is>
      </c>
      <c r="S26" s="304" t="inlineStr">
        <is>
          <t>Verkoopprijs per m³</t>
        </is>
      </c>
      <c r="T26" s="304" t="inlineStr">
        <is>
          <t>Financiële marktwaarde excl. kosten</t>
        </is>
      </c>
      <c r="U26" s="368" t="inlineStr">
        <is>
          <t>Recovery hoog?</t>
        </is>
      </c>
      <c r="V26" s="368" t="inlineStr">
        <is>
          <t>Klimaat positief?</t>
        </is>
      </c>
      <c r="W26" s="368" t="inlineStr">
        <is>
          <t>Financiele positief?</t>
        </is>
      </c>
      <c r="X26" s="369" t="inlineStr">
        <is>
          <t>Eindbeoordeling</t>
        </is>
      </c>
      <c r="Y26" s="301" t="n"/>
      <c r="Z26" s="301" t="n"/>
      <c r="AA26" s="301" t="n"/>
      <c r="AB26" s="301" t="n"/>
      <c r="AC26" s="301" t="n"/>
      <c r="AD26" s="301" t="n"/>
      <c r="AE26" s="301" t="n"/>
      <c r="AF26" s="301" t="n"/>
      <c r="AG26" s="301" t="n"/>
      <c r="AH26" s="301" t="n"/>
      <c r="AI26" s="301" t="n"/>
      <c r="AJ26" s="301" t="n"/>
      <c r="AK26" s="301" t="n"/>
      <c r="AL26" s="301" t="n"/>
    </row>
    <row r="27">
      <c r="A27" s="337" t="inlineStr">
        <is>
          <t>Beton</t>
        </is>
      </c>
      <c r="B27" s="338" t="inlineStr">
        <is>
          <t>Totaal</t>
        </is>
      </c>
      <c r="C27" s="275">
        <f>'Beton-data'!B2</f>
        <v/>
      </c>
      <c r="D27" s="275" t="n">
        <v>4</v>
      </c>
      <c r="E27" s="276">
        <f>""</f>
        <v/>
      </c>
      <c r="F27" s="276">
        <f>AVERAGE(F28:F36)</f>
        <v/>
      </c>
      <c r="G27" s="276">
        <f>AVERAGE(G28:G36)</f>
        <v/>
      </c>
      <c r="H27" s="276">
        <f>AVERAGE(H28:H36)</f>
        <v/>
      </c>
      <c r="I27" s="288">
        <f>IFERROR(ROUND(AVERAGE(Tabel264041[[#This Row],[Demonteerbaarheid]],Tabel264041[[#This Row],[Materiaalconditie ]],Tabel264041[[#This Row],[Marktpotentie ]])/5,2),0)</f>
        <v/>
      </c>
      <c r="J27" s="287">
        <f>IF(Tabel264041[[#This Row],[PRR]]="","Handmatig beoordelen",IF(Tabel264041[[#This Row],[PRR]]&gt;=0.9,"Hergebruik",IF(Tabel264041[[#This Row],[PRR]]&gt;=0.7,"Hergebruik &gt; recycling",IF(Tabel264041[[#This Row],[PRR]]&gt;=0.35,"Recycling","Handmatig beoordelen"))))</f>
        <v/>
      </c>
      <c r="K27" s="287">
        <f>IF(Tabel264041[[#This Row],[Routeadvies]]="Hergebruik","&gt;= 0,9",IF(Tabel264041[[#This Row],[Routeadvies]]="Hergebruik &gt; recycling","&gt;= 0,7 en &lt; 0,9",IF(Tabel264041[[#This Row],[Routeadvies]]="Recycling","&gt;= 0,35 en &lt; 0,7",IF(Tabel264041[[#This Row],[Routeadvies]]="Handmatig beoordelen","&lt; 0,35",""))))</f>
        <v/>
      </c>
      <c r="L27" s="286">
        <f>IF($B27="Totaal","Totaal",IF(OR($B27="Funderingen",$B27="Heipalen",$B27="Prefab elementen",$B27="Kanaalplaatvloeren",$B27="Breedplaatvloeren",$B27="Trappen",$B27="Gevelpanelen",$B27="ramen"),"Bijzonder beton",IF($G27="","Handmatig beoordelen",IF($G27&gt;=4,"A-beton",IF($G27&gt;=3,"B-beton",IF($G27&gt;0,"C-beton","Handmatig beoordelen"))))))</f>
        <v/>
      </c>
      <c r="M27" s="292">
        <f>SUM(M28:M36)</f>
        <v/>
      </c>
      <c r="N27" s="292">
        <f>SUM(N28:N36)</f>
        <v/>
      </c>
      <c r="O27" s="292">
        <f>SUM(O28:O36)</f>
        <v/>
      </c>
      <c r="P27" s="389">
        <f>IFERROR(MAX(0,Tabel264041[[#This Row],[Tot. nieuw CO2 (kg)]]-MIN(IF(Tabel264041[[#This Row],[Tot. hergebruik CO2 (kg)]]=0,999999,Tabel264041[[#This Row],[Tot. hergebruik CO2 (kg)]]),IF(Tabel264041[[#This Row],[Tot. recycling Co2 (kg)]]=0,999999,Tabel264041[[#This Row],[Tot. recycling Co2 (kg)]]))),0)</f>
        <v/>
      </c>
      <c r="Q27" s="289">
        <f>IF(OR($M27="",$M27=0),"Geen beoordeling",IF(AND($N27=0,$O27=0),"Geen beoordeling",IF($N27&lt;$O27,"Hergebruik",IF($O27&lt;$N27,"Recycling","Hergebruik en recycling gelijk"))))</f>
        <v/>
      </c>
      <c r="R27" s="286">
        <f>IFERROR(Tabel264041[[#This Row],[BIM-volume m³]]*Tabel264041[[#This Row],[PRR]],0)</f>
        <v/>
      </c>
      <c r="S27" s="401">
        <f>IFERROR(VLOOKUP(Tabel264041[[#This Row],[Klasse]],Beton!$A$10:$D$13,4,FALSE),0)</f>
        <v/>
      </c>
      <c r="T27" s="399">
        <f>+Tabel264041[[#This Row],[Praktisch terugwinbaar volume m³]]*Tabel264041[[#This Row],[Verkoopprijs per m³]]</f>
        <v/>
      </c>
      <c r="U27" s="332">
        <f>IF(OR($L27="Handmatig beoordelen",$L27="",$L27="Totaal",$I27=""),"Handmatig",IF($I27&gt;=50%,"Ja","Nee"))</f>
        <v/>
      </c>
      <c r="V27" s="287">
        <f>IF(OR($L27="Handmatig beoordelen",$L27="",$L27="Totaal",$Q27=""),"Handmatig",IF(OR($Q27="Hergebruik",$Q27="Recycling",$Q27="Hergebruik en recycling",$Q27="Hergebruik en recycling gelijk"),"Ja","Nee"))</f>
        <v/>
      </c>
      <c r="W27" s="287">
        <f>IF(OR($L27="Handmatig beoordelen",$L27="",$L27="Totaal"),"Handmatig",IF($T27&gt;0,"Ja","Nee"))</f>
        <v/>
      </c>
      <c r="X27" s="333">
        <f>IF(OR($U27="Handmatig",$V27="Handmatig",$W27="Handmatig"),"Handmatig beoordelen",IF(COUNTIF($U27:$W27,"Ja")&gt;=2,"Interessant",IF(COUNTIF($U27:$W27,"Ja")=1,"Eigen beoordeling","Niet interessant")))</f>
        <v/>
      </c>
      <c r="Y27" s="301" t="n"/>
      <c r="Z27" s="301" t="n"/>
      <c r="AA27" s="301" t="n"/>
      <c r="AB27" s="301" t="n"/>
      <c r="AC27" s="301" t="n"/>
      <c r="AD27" s="301" t="n"/>
      <c r="AE27" s="301" t="n"/>
      <c r="AF27" s="301" t="n"/>
      <c r="AG27" s="301" t="n"/>
      <c r="AH27" s="301" t="n"/>
      <c r="AI27" s="301" t="n"/>
      <c r="AJ27" s="301" t="n"/>
      <c r="AK27" s="301" t="n"/>
      <c r="AL27" s="301" t="n"/>
    </row>
    <row r="28">
      <c r="A28" s="337" t="inlineStr">
        <is>
          <t>Beton</t>
        </is>
      </c>
      <c r="B28" s="285" t="inlineStr">
        <is>
          <t>Plafonds</t>
        </is>
      </c>
      <c r="C28" s="275">
        <f>'Beton-data'!B3</f>
        <v/>
      </c>
      <c r="D28" s="277" t="n">
        <v>4</v>
      </c>
      <c r="E28" s="276" t="n">
        <v>20</v>
      </c>
      <c r="F28" s="278" t="n">
        <v>1</v>
      </c>
      <c r="G28" s="278" t="n">
        <v>3</v>
      </c>
      <c r="H28" s="278" t="n">
        <v>3</v>
      </c>
      <c r="I28" s="288">
        <f>IFERROR(ROUND(AVERAGE(Tabel264041[[#This Row],[Demonteerbaarheid]],Tabel264041[[#This Row],[Materiaalconditie ]],Tabel264041[[#This Row],[Marktpotentie ]])/5,2),0)</f>
        <v/>
      </c>
      <c r="J28" s="287">
        <f>IF(Tabel264041[[#This Row],[PRR]]="","Handmatig beoordelen",IF(Tabel264041[[#This Row],[PRR]]&gt;=0.9,"Hergebruik",IF(Tabel264041[[#This Row],[PRR]]&gt;=0.7,"Hergebruik &gt; recycling",IF(Tabel264041[[#This Row],[PRR]]&gt;=0.35,"Recycling","Handmatig beoordelen"))))</f>
        <v/>
      </c>
      <c r="K28" s="287">
        <f>IF(Tabel264041[[#This Row],[Routeadvies]]="Hergebruik","&gt;= 0,9",IF(Tabel264041[[#This Row],[Routeadvies]]="Hergebruik &gt; recycling","&gt;= 0,7 en &lt; 0,9",IF(Tabel264041[[#This Row],[Routeadvies]]="Recycling","&gt;= 0,35 en &lt; 0,7",IF(Tabel264041[[#This Row],[Routeadvies]]="Handmatig beoordelen","&lt; 0,35",""))))</f>
        <v/>
      </c>
      <c r="L28" s="286">
        <f>IF($B28="Totaal","Totaal",IF(OR($B28="Funderingen",$B28="Heipalen",$B28="Prefab elementen",$B28="Kanaalplaatvloeren",$B28="Breedplaatvloeren",$B28="Trappen",$B28="Gevelpanelen",$B28="ramen"),"Bijzonder beton",IF($G28="","Handmatig beoordelen",IF($G28&gt;=4,"A-beton",IF($G28&gt;=3,"B-beton",IF($G28&gt;0,"C-beton","Handmatig beoordelen"))))))</f>
        <v/>
      </c>
      <c r="M28" s="343">
        <f>IFERROR(Tabel264041[[#This Row],[BIM-volume m³]]*Beton!$M$3+Tabel264041[[#This Row],[BIM-volume m³]]*Tabel264041[[#This Row],[Transport Impact]]*IF(Tabel264041[[#This Row],[Transportafstand (km)]]="",0,Tabel264041[[#This Row],[Transportafstand (km)]]),0)</f>
        <v/>
      </c>
      <c r="N28" s="292">
        <f>IFERROR(Tabel264041[[#This Row],[BIM-volume m³]]*Beton!$N$3+Tabel264041[[#This Row],[BIM-volume m³]]*Tabel264041[[#This Row],[Transport Impact]]*IF(Tabel264041[[#This Row],[Transportafstand (km)]]="",0,Tabel264041[[#This Row],[Transportafstand (km)]]),0)</f>
        <v/>
      </c>
      <c r="O28" s="292">
        <f>IFERROR(Tabel264041[[#This Row],[BIM-volume m³]]*Beton!$O$3+Tabel264041[[#This Row],[BIM-volume m³]]*Tabel264041[[#This Row],[Transport Impact]]*IF(Tabel264041[[#This Row],[Transportafstand (km)]]="",0,Tabel264041[[#This Row],[Transportafstand (km)]]),0)</f>
        <v/>
      </c>
      <c r="P28" s="293">
        <f>IFERROR(MAX(0,Tabel264041[[#This Row],[Tot. nieuw CO2 (kg)]]-MIN(IF(Tabel264041[[#This Row],[Tot. hergebruik CO2 (kg)]]=0,999999,Tabel264041[[#This Row],[Tot. hergebruik CO2 (kg)]]),IF(Tabel264041[[#This Row],[Tot. recycling Co2 (kg)]]=0,999999,Tabel264041[[#This Row],[Tot. recycling Co2 (kg)]]))),0)</f>
        <v/>
      </c>
      <c r="Q28" s="291">
        <f>IF(OR($M28="",$M28=0),"Geen beoordeling",IF(AND($N28=0,$O28=0),"Geen beoordeling",IF($N28&lt;$O28,"Hergebruik",IF($O28&lt;$N28,"Recycling","Hergebruik en recycling gelijk"))))</f>
        <v/>
      </c>
      <c r="R28" s="286">
        <f>IFERROR(Tabel264041[[#This Row],[BIM-volume m³]]*Tabel264041[[#This Row],[PRR]],0)</f>
        <v/>
      </c>
      <c r="S28" s="401">
        <f>IFERROR(VLOOKUP(Tabel264041[[#This Row],[Klasse]],Beton!$A$10:$D$13,4,FALSE),0)</f>
        <v/>
      </c>
      <c r="T28" s="399">
        <f>+Tabel264041[[#This Row],[Praktisch terugwinbaar volume m³]]*Tabel264041[[#This Row],[Verkoopprijs per m³]]</f>
        <v/>
      </c>
      <c r="U28" s="332">
        <f>IF(OR($L28="Handmatig beoordelen",$L28="",$L28="Totaal",$I28=""),"Handmatig",IF($I28&gt;=50%,"Ja","Nee"))</f>
        <v/>
      </c>
      <c r="V28" s="287">
        <f>IF(OR($L28="Handmatig beoordelen",$L28="",$L28="Totaal",$Q28=""),"Handmatig",IF(OR($Q28="Hergebruik",$Q28="Recycling",$Q28="Hergebruik en recycling",$Q28="Hergebruik en recycling gelijk"),"Ja","Nee"))</f>
        <v/>
      </c>
      <c r="W28" s="287">
        <f>IF(OR($L28="Handmatig beoordelen",$L28="",$L28="Totaal"),"Handmatig",IF($T28&gt;0,"Ja","Nee"))</f>
        <v/>
      </c>
      <c r="X28" s="333">
        <f>IF(OR($U28="Handmatig",$V28="Handmatig",$W28="Handmatig"),"Handmatig beoordelen",IF(COUNTIF($U28:$W28,"Ja")&gt;=2,"Interessant",IF(COUNTIF($U28:$W28,"Ja")=1,"Eigen beoordeling","Niet interessant")))</f>
        <v/>
      </c>
      <c r="Y28" s="301" t="n"/>
      <c r="Z28" s="301" t="n"/>
      <c r="AA28" s="301" t="n"/>
      <c r="AB28" s="301" t="n"/>
      <c r="AC28" s="301" t="n"/>
      <c r="AD28" s="301" t="n"/>
      <c r="AE28" s="301" t="n"/>
      <c r="AF28" s="301" t="n"/>
      <c r="AG28" s="301" t="n"/>
      <c r="AH28" s="301" t="n"/>
      <c r="AI28" s="301" t="n"/>
      <c r="AJ28" s="301" t="n"/>
      <c r="AK28" s="301" t="n"/>
      <c r="AL28" s="301" t="n"/>
    </row>
    <row r="29">
      <c r="A29" s="337" t="inlineStr">
        <is>
          <t>Beton</t>
        </is>
      </c>
      <c r="B29" s="285" t="inlineStr">
        <is>
          <t>Kolommen</t>
        </is>
      </c>
      <c r="C29" s="275">
        <f>'Beton-data'!B4</f>
        <v/>
      </c>
      <c r="D29" s="277" t="n">
        <v>4</v>
      </c>
      <c r="E29" s="276" t="n">
        <v>20</v>
      </c>
      <c r="F29" s="279" t="n">
        <v>1</v>
      </c>
      <c r="G29" s="279" t="n">
        <v>3</v>
      </c>
      <c r="H29" s="279" t="n">
        <v>2</v>
      </c>
      <c r="I29" s="288">
        <f>IFERROR(ROUND(AVERAGE(Tabel264041[[#This Row],[Demonteerbaarheid]],Tabel264041[[#This Row],[Materiaalconditie ]],Tabel264041[[#This Row],[Marktpotentie ]])/5,2),0)</f>
        <v/>
      </c>
      <c r="J29" s="287">
        <f>IF(Tabel264041[[#This Row],[PRR]]="","Handmatig beoordelen",IF(Tabel264041[[#This Row],[PRR]]&gt;=0.9,"Hergebruik",IF(Tabel264041[[#This Row],[PRR]]&gt;=0.7,"Hergebruik &gt; recycling",IF(Tabel264041[[#This Row],[PRR]]&gt;=0.35,"Recycling","Handmatig beoordelen"))))</f>
        <v/>
      </c>
      <c r="K29" s="287">
        <f>IF(Tabel264041[[#This Row],[Routeadvies]]="Hergebruik","&gt;= 0,9",IF(Tabel264041[[#This Row],[Routeadvies]]="Hergebruik &gt; recycling","&gt;= 0,7 en &lt; 0,9",IF(Tabel264041[[#This Row],[Routeadvies]]="Recycling","&gt;= 0,35 en &lt; 0,7",IF(Tabel264041[[#This Row],[Routeadvies]]="Handmatig beoordelen","&lt; 0,35",""))))</f>
        <v/>
      </c>
      <c r="L29" s="286">
        <f>IF($B29="Totaal","Totaal",IF(OR($B29="Funderingen",$B29="Heipalen",$B29="Prefab elementen",$B29="Kanaalplaatvloeren",$B29="Breedplaatvloeren",$B29="Trappen",$B29="Gevelpanelen",$B29="ramen"),"Bijzonder beton",IF($G29="","Handmatig beoordelen",IF($G29&gt;=4,"A-beton",IF($G29&gt;=3,"B-beton",IF($G29&gt;0,"C-beton","Handmatig beoordelen"))))))</f>
        <v/>
      </c>
      <c r="M29" s="343">
        <f>IFERROR(Tabel264041[[#This Row],[BIM-volume m³]]*Beton!$M$3+Tabel264041[[#This Row],[BIM-volume m³]]*Tabel264041[[#This Row],[Transport Impact]]*IF(Tabel264041[[#This Row],[Transportafstand (km)]]="",0,Tabel264041[[#This Row],[Transportafstand (km)]]),0)</f>
        <v/>
      </c>
      <c r="N29" s="292">
        <f>IFERROR(Tabel264041[[#This Row],[BIM-volume m³]]*Beton!$N$3+Tabel264041[[#This Row],[BIM-volume m³]]*Tabel264041[[#This Row],[Transport Impact]]*IF(Tabel264041[[#This Row],[Transportafstand (km)]]="",0,Tabel264041[[#This Row],[Transportafstand (km)]]),0)</f>
        <v/>
      </c>
      <c r="O29" s="292">
        <f>IFERROR(Tabel264041[[#This Row],[BIM-volume m³]]*Beton!$O$3+Tabel264041[[#This Row],[BIM-volume m³]]*Tabel264041[[#This Row],[Transport Impact]]*IF(Tabel264041[[#This Row],[Transportafstand (km)]]="",0,Tabel264041[[#This Row],[Transportafstand (km)]]),0)</f>
        <v/>
      </c>
      <c r="P29" s="293">
        <f>IFERROR(MAX(0,Tabel264041[[#This Row],[Tot. nieuw CO2 (kg)]]-MIN(IF(Tabel264041[[#This Row],[Tot. hergebruik CO2 (kg)]]=0,999999,Tabel264041[[#This Row],[Tot. hergebruik CO2 (kg)]]),IF(Tabel264041[[#This Row],[Tot. recycling Co2 (kg)]]=0,999999,Tabel264041[[#This Row],[Tot. recycling Co2 (kg)]]))),0)</f>
        <v/>
      </c>
      <c r="Q29" s="291">
        <f>IF(OR($M29="",$M29=0),"Geen beoordeling",IF(AND($N29=0,$O29=0),"Geen beoordeling",IF($N29&lt;$O29,"Hergebruik",IF($O29&lt;$N29,"Recycling","Hergebruik en recycling gelijk"))))</f>
        <v/>
      </c>
      <c r="R29" s="286">
        <f>IFERROR(Tabel264041[[#This Row],[BIM-volume m³]]*Tabel264041[[#This Row],[PRR]],0)</f>
        <v/>
      </c>
      <c r="S29" s="401">
        <f>IFERROR(VLOOKUP(Tabel264041[[#This Row],[Klasse]],Beton!$A$10:$D$13,4,FALSE),0)</f>
        <v/>
      </c>
      <c r="T29" s="399">
        <f>+Tabel264041[[#This Row],[Praktisch terugwinbaar volume m³]]*Tabel264041[[#This Row],[Verkoopprijs per m³]]</f>
        <v/>
      </c>
      <c r="U29" s="332">
        <f>IF(OR($L29="Handmatig beoordelen",$L29="",$L29="Totaal",$I29=""),"Handmatig",IF($I29&gt;=50%,"Ja","Nee"))</f>
        <v/>
      </c>
      <c r="V29" s="287">
        <f>IF(OR($L29="Handmatig beoordelen",$L29="",$L29="Totaal",$Q29=""),"Handmatig",IF(OR($Q29="Hergebruik",$Q29="Recycling",$Q29="Hergebruik en recycling",$Q29="Hergebruik en recycling gelijk"),"Ja","Nee"))</f>
        <v/>
      </c>
      <c r="W29" s="287">
        <f>IF(OR($L29="Handmatig beoordelen",$L29="",$L29="Totaal"),"Handmatig",IF($T29&gt;0,"Ja","Nee"))</f>
        <v/>
      </c>
      <c r="X29" s="333">
        <f>IF(OR($U29="Handmatig",$V29="Handmatig",$W29="Handmatig"),"Handmatig beoordelen",IF(COUNTIF($U29:$W29,"Ja")&gt;=2,"Interessant",IF(COUNTIF($U29:$W29,"Ja")=1,"Eigen beoordeling","Niet interessant")))</f>
        <v/>
      </c>
      <c r="Y29" s="301" t="n"/>
      <c r="Z29" s="301" t="n"/>
      <c r="AA29" s="301" t="n"/>
      <c r="AB29" s="301" t="n"/>
      <c r="AC29" s="301" t="n"/>
      <c r="AD29" s="301" t="n"/>
      <c r="AE29" s="301" t="n"/>
      <c r="AF29" s="301" t="n"/>
      <c r="AG29" s="301" t="n"/>
      <c r="AH29" s="301" t="n"/>
      <c r="AI29" s="301" t="n"/>
      <c r="AJ29" s="301" t="n"/>
      <c r="AK29" s="301" t="n"/>
      <c r="AL29" s="301" t="n"/>
    </row>
    <row r="30">
      <c r="A30" s="337" t="inlineStr">
        <is>
          <t>Beton</t>
        </is>
      </c>
      <c r="B30" s="285" t="inlineStr">
        <is>
          <t>Gevelpanelen</t>
        </is>
      </c>
      <c r="C30" s="275">
        <f>'Beton-data'!B5</f>
        <v/>
      </c>
      <c r="D30" s="277" t="n">
        <v>4</v>
      </c>
      <c r="E30" s="276" t="n">
        <v>20</v>
      </c>
      <c r="F30" s="279" t="n">
        <v>5</v>
      </c>
      <c r="G30" s="279" t="n">
        <v>4</v>
      </c>
      <c r="H30" s="279" t="n">
        <v>3</v>
      </c>
      <c r="I30" s="288">
        <f>IFERROR(ROUND(AVERAGE(Tabel264041[[#This Row],[Demonteerbaarheid]],Tabel264041[[#This Row],[Materiaalconditie ]],Tabel264041[[#This Row],[Marktpotentie ]])/5,2),0)</f>
        <v/>
      </c>
      <c r="J30" s="287">
        <f>IF(Tabel264041[[#This Row],[PRR]]="","Handmatig beoordelen",IF(Tabel264041[[#This Row],[PRR]]&gt;=0.9,"Hergebruik",IF(Tabel264041[[#This Row],[PRR]]&gt;=0.7,"Hergebruik &gt; recycling",IF(Tabel264041[[#This Row],[PRR]]&gt;=0.35,"Recycling","Handmatig beoordelen"))))</f>
        <v/>
      </c>
      <c r="K30" s="287">
        <f>IF(Tabel264041[[#This Row],[Routeadvies]]="Hergebruik","&gt;= 0,9",IF(Tabel264041[[#This Row],[Routeadvies]]="Hergebruik &gt; recycling","&gt;= 0,7 en &lt; 0,9",IF(Tabel264041[[#This Row],[Routeadvies]]="Recycling","&gt;= 0,35 en &lt; 0,7",IF(Tabel264041[[#This Row],[Routeadvies]]="Handmatig beoordelen","&lt; 0,35",""))))</f>
        <v/>
      </c>
      <c r="L30" s="286">
        <f>IF($B30="Totaal","Totaal",IF(OR($B30="Funderingen",$B30="Heipalen",$B30="Prefab elementen",$B30="Kanaalplaatvloeren",$B30="Breedplaatvloeren",$B30="Trappen",$B30="Gevelpanelen",$B30="ramen"),"Bijzonder beton",IF($G30="","Handmatig beoordelen",IF($G30&gt;=4,"A-beton",IF($G30&gt;=3,"B-beton",IF($G30&gt;0,"C-beton","Handmatig beoordelen"))))))</f>
        <v/>
      </c>
      <c r="M30" s="343">
        <f>IFERROR(Tabel264041[[#This Row],[BIM-volume m³]]*Beton!$M$3+Tabel264041[[#This Row],[BIM-volume m³]]*Tabel264041[[#This Row],[Transport Impact]]*IF(Tabel264041[[#This Row],[Transportafstand (km)]]="",0,Tabel264041[[#This Row],[Transportafstand (km)]]),0)</f>
        <v/>
      </c>
      <c r="N30" s="292">
        <f>IFERROR(Tabel264041[[#This Row],[BIM-volume m³]]*Beton!$N$3+Tabel264041[[#This Row],[BIM-volume m³]]*Tabel264041[[#This Row],[Transport Impact]]*IF(Tabel264041[[#This Row],[Transportafstand (km)]]="",0,Tabel264041[[#This Row],[Transportafstand (km)]]),0)</f>
        <v/>
      </c>
      <c r="O30" s="292">
        <f>IFERROR(Tabel264041[[#This Row],[BIM-volume m³]]*Beton!$O$3+Tabel264041[[#This Row],[BIM-volume m³]]*Tabel264041[[#This Row],[Transport Impact]]*IF(Tabel264041[[#This Row],[Transportafstand (km)]]="",0,Tabel264041[[#This Row],[Transportafstand (km)]]),0)</f>
        <v/>
      </c>
      <c r="P30" s="293">
        <f>IFERROR(MAX(0,Tabel264041[[#This Row],[Tot. nieuw CO2 (kg)]]-MIN(IF(Tabel264041[[#This Row],[Tot. hergebruik CO2 (kg)]]=0,999999,Tabel264041[[#This Row],[Tot. hergebruik CO2 (kg)]]),IF(Tabel264041[[#This Row],[Tot. recycling Co2 (kg)]]=0,999999,Tabel264041[[#This Row],[Tot. recycling Co2 (kg)]]))),0)</f>
        <v/>
      </c>
      <c r="Q30" s="291">
        <f>IF(OR($M30="",$M30=0),"Geen beoordeling",IF(AND($N30=0,$O30=0),"Geen beoordeling",IF($N30&lt;$O30,"Hergebruik",IF($O30&lt;$N30,"Recycling","Hergebruik en recycling gelijk"))))</f>
        <v/>
      </c>
      <c r="R30" s="286">
        <f>IFERROR(Tabel264041[[#This Row],[BIM-volume m³]]*Tabel264041[[#This Row],[PRR]],0)</f>
        <v/>
      </c>
      <c r="S30" s="401">
        <f>IFERROR(VLOOKUP(Tabel264041[[#This Row],[Klasse]],Beton!$A$10:$D$13,4,FALSE),0)</f>
        <v/>
      </c>
      <c r="T30" s="399">
        <f>+Tabel264041[[#This Row],[Praktisch terugwinbaar volume m³]]*Tabel264041[[#This Row],[Verkoopprijs per m³]]</f>
        <v/>
      </c>
      <c r="U30" s="332">
        <f>IF(OR($L30="Handmatig beoordelen",$L30="",$L30="Totaal",$I30=""),"Handmatig",IF($I30&gt;=50%,"Ja","Nee"))</f>
        <v/>
      </c>
      <c r="V30" s="287">
        <f>IF(OR($L30="Handmatig beoordelen",$L30="",$L30="Totaal",$Q30=""),"Handmatig",IF(OR($Q30="Hergebruik",$Q30="Recycling",$Q30="Hergebruik en recycling",$Q30="Hergebruik en recycling gelijk"),"Ja","Nee"))</f>
        <v/>
      </c>
      <c r="W30" s="287">
        <f>IF(OR($L30="Handmatig beoordelen",$L30="",$L30="Totaal"),"Handmatig",IF($T30&gt;0,"Ja","Nee"))</f>
        <v/>
      </c>
      <c r="X30" s="333">
        <f>IF(OR($U30="Handmatig",$V30="Handmatig",$W30="Handmatig"),"Handmatig beoordelen",IF(COUNTIF($U30:$W30,"Ja")&gt;=2,"Interessant",IF(COUNTIF($U30:$W30,"Ja")=1,"Eigen beoordeling","Niet interessant")))</f>
        <v/>
      </c>
      <c r="Y30" s="301" t="n"/>
      <c r="Z30" s="301" t="n"/>
      <c r="AA30" s="301" t="n"/>
      <c r="AB30" s="301" t="n"/>
      <c r="AC30" s="301" t="n"/>
      <c r="AD30" s="301" t="n"/>
      <c r="AE30" s="301" t="n"/>
      <c r="AF30" s="301" t="n"/>
      <c r="AG30" s="301" t="n"/>
      <c r="AH30" s="301" t="n"/>
      <c r="AI30" s="301" t="n"/>
      <c r="AJ30" s="301" t="n"/>
      <c r="AK30" s="301" t="n"/>
      <c r="AL30" s="301" t="n"/>
    </row>
    <row r="31">
      <c r="A31" s="337" t="inlineStr">
        <is>
          <t>Beton</t>
        </is>
      </c>
      <c r="B31" s="285" t="inlineStr">
        <is>
          <t>Deuren</t>
        </is>
      </c>
      <c r="C31" s="275">
        <f>'Beton-data'!B6</f>
        <v/>
      </c>
      <c r="D31" s="277" t="n">
        <v>4</v>
      </c>
      <c r="E31" s="276" t="n">
        <v>20</v>
      </c>
      <c r="F31" s="279" t="n">
        <v>5</v>
      </c>
      <c r="G31" s="279" t="n">
        <v>3</v>
      </c>
      <c r="H31" s="279" t="n">
        <v>2</v>
      </c>
      <c r="I31" s="288">
        <f>IFERROR(ROUND(AVERAGE(Tabel264041[[#This Row],[Demonteerbaarheid]],Tabel264041[[#This Row],[Materiaalconditie ]],Tabel264041[[#This Row],[Marktpotentie ]])/5,2),0)</f>
        <v/>
      </c>
      <c r="J31" s="287">
        <f>IF(Tabel264041[[#This Row],[PRR]]="","Handmatig beoordelen",IF(Tabel264041[[#This Row],[PRR]]&gt;=0.9,"Hergebruik",IF(Tabel264041[[#This Row],[PRR]]&gt;=0.7,"Hergebruik &gt; recycling",IF(Tabel264041[[#This Row],[PRR]]&gt;=0.35,"Recycling","Handmatig beoordelen"))))</f>
        <v/>
      </c>
      <c r="K31" s="287">
        <f>IF(Tabel264041[[#This Row],[Routeadvies]]="Hergebruik","&gt;= 0,9",IF(Tabel264041[[#This Row],[Routeadvies]]="Hergebruik &gt; recycling","&gt;= 0,7 en &lt; 0,9",IF(Tabel264041[[#This Row],[Routeadvies]]="Recycling","&gt;= 0,35 en &lt; 0,7",IF(Tabel264041[[#This Row],[Routeadvies]]="Handmatig beoordelen","&lt; 0,35",""))))</f>
        <v/>
      </c>
      <c r="L31" s="286">
        <f>IF($B31="Totaal","Totaal",IF(OR($B31="Funderingen",$B31="Heipalen",$B31="Prefab elementen",$B31="Kanaalplaatvloeren",$B31="Breedplaatvloeren",$B31="Trappen",$B31="Gevelpanelen",$B31="ramen"),"Bijzonder beton",IF($G31="","Handmatig beoordelen",IF($G31&gt;=4,"A-beton",IF($G31&gt;=3,"B-beton",IF($G31&gt;0,"C-beton","Handmatig beoordelen"))))))</f>
        <v/>
      </c>
      <c r="M31" s="343">
        <f>IFERROR(Tabel264041[[#This Row],[BIM-volume m³]]*Beton!$M$3+Tabel264041[[#This Row],[BIM-volume m³]]*Tabel264041[[#This Row],[Transport Impact]]*IF(Tabel264041[[#This Row],[Transportafstand (km)]]="",0,Tabel264041[[#This Row],[Transportafstand (km)]]),0)</f>
        <v/>
      </c>
      <c r="N31" s="292">
        <f>IFERROR(Tabel264041[[#This Row],[BIM-volume m³]]*Beton!$N$3+Tabel264041[[#This Row],[BIM-volume m³]]*Tabel264041[[#This Row],[Transport Impact]]*IF(Tabel264041[[#This Row],[Transportafstand (km)]]="",0,Tabel264041[[#This Row],[Transportafstand (km)]]),0)</f>
        <v/>
      </c>
      <c r="O31" s="292">
        <f>IFERROR(Tabel264041[[#This Row],[BIM-volume m³]]*Beton!$O$3+Tabel264041[[#This Row],[BIM-volume m³]]*Tabel264041[[#This Row],[Transport Impact]]*IF(Tabel264041[[#This Row],[Transportafstand (km)]]="",0,Tabel264041[[#This Row],[Transportafstand (km)]]),0)</f>
        <v/>
      </c>
      <c r="P31" s="293">
        <f>IFERROR(MAX(0,Tabel264041[[#This Row],[Tot. nieuw CO2 (kg)]]-MIN(IF(Tabel264041[[#This Row],[Tot. hergebruik CO2 (kg)]]=0,999999,Tabel264041[[#This Row],[Tot. hergebruik CO2 (kg)]]),IF(Tabel264041[[#This Row],[Tot. recycling Co2 (kg)]]=0,999999,Tabel264041[[#This Row],[Tot. recycling Co2 (kg)]]))),0)</f>
        <v/>
      </c>
      <c r="Q31" s="291">
        <f>IF(OR($M31="",$M31=0),"Geen beoordeling",IF(AND($N31=0,$O31=0),"Geen beoordeling",IF($N31&lt;$O31,"Hergebruik",IF($O31&lt;$N31,"Recycling","Hergebruik en recycling gelijk"))))</f>
        <v/>
      </c>
      <c r="R31" s="286">
        <f>IFERROR(Tabel264041[[#This Row],[BIM-volume m³]]*Tabel264041[[#This Row],[PRR]],0)</f>
        <v/>
      </c>
      <c r="S31" s="401">
        <f>IFERROR(VLOOKUP(Tabel264041[[#This Row],[Klasse]],Beton!$A$10:$D$13,4,FALSE),0)</f>
        <v/>
      </c>
      <c r="T31" s="399">
        <f>+Tabel264041[[#This Row],[Praktisch terugwinbaar volume m³]]*Tabel264041[[#This Row],[Verkoopprijs per m³]]</f>
        <v/>
      </c>
      <c r="U31" s="332">
        <f>IF(OR($L31="Handmatig beoordelen",$L31="",$L31="Totaal",$I31=""),"Handmatig",IF($I31&gt;=50%,"Ja","Nee"))</f>
        <v/>
      </c>
      <c r="V31" s="287">
        <f>IF(OR($L31="Handmatig beoordelen",$L31="",$L31="Totaal",$Q31=""),"Handmatig",IF(OR($Q31="Hergebruik",$Q31="Recycling",$Q31="Hergebruik en recycling",$Q31="Hergebruik en recycling gelijk"),"Ja","Nee"))</f>
        <v/>
      </c>
      <c r="W31" s="287">
        <f>IF(OR($L31="Handmatig beoordelen",$L31="",$L31="Totaal"),"Handmatig",IF($T31&gt;0,"Ja","Nee"))</f>
        <v/>
      </c>
      <c r="X31" s="333">
        <f>IF(OR($U31="Handmatig",$V31="Handmatig",$W31="Handmatig"),"Handmatig beoordelen",IF(COUNTIF($U31:$W31,"Ja")&gt;=2,"Interessant",IF(COUNTIF($U31:$W31,"Ja")=1,"Eigen beoordeling","Niet interessant")))</f>
        <v/>
      </c>
      <c r="Y31" s="301" t="n"/>
      <c r="Z31" s="301" t="n"/>
      <c r="AA31" s="301" t="n"/>
      <c r="AB31" s="301" t="n"/>
      <c r="AC31" s="301" t="n"/>
      <c r="AD31" s="301" t="n"/>
      <c r="AE31" s="301" t="n"/>
      <c r="AF31" s="301" t="n"/>
      <c r="AG31" s="301" t="n"/>
      <c r="AH31" s="301" t="n"/>
      <c r="AI31" s="301" t="n"/>
      <c r="AJ31" s="301" t="n"/>
      <c r="AK31" s="301" t="n"/>
      <c r="AL31" s="301" t="n"/>
    </row>
    <row r="32">
      <c r="A32" s="337" t="inlineStr">
        <is>
          <t>Beton</t>
        </is>
      </c>
      <c r="B32" s="285" t="inlineStr">
        <is>
          <t>Vloeren</t>
        </is>
      </c>
      <c r="C32" s="275">
        <f>'Beton-data'!B7</f>
        <v/>
      </c>
      <c r="D32" s="277" t="n">
        <v>4</v>
      </c>
      <c r="E32" s="276" t="n">
        <v>20</v>
      </c>
      <c r="F32" s="279" t="n">
        <v>1</v>
      </c>
      <c r="G32" s="279" t="n">
        <v>2</v>
      </c>
      <c r="H32" s="279" t="n">
        <v>3</v>
      </c>
      <c r="I32" s="288">
        <f>IFERROR(ROUND(AVERAGE(Tabel264041[[#This Row],[Demonteerbaarheid]],Tabel264041[[#This Row],[Materiaalconditie ]],Tabel264041[[#This Row],[Marktpotentie ]])/5,2),0)</f>
        <v/>
      </c>
      <c r="J32" s="287">
        <f>IF(Tabel264041[[#This Row],[PRR]]="","Handmatig beoordelen",IF(Tabel264041[[#This Row],[PRR]]&gt;=0.9,"Hergebruik",IF(Tabel264041[[#This Row],[PRR]]&gt;=0.7,"Hergebruik &gt; recycling",IF(Tabel264041[[#This Row],[PRR]]&gt;=0.35,"Recycling","Handmatig beoordelen"))))</f>
        <v/>
      </c>
      <c r="K32" s="287">
        <f>IF(Tabel264041[[#This Row],[Routeadvies]]="Hergebruik","&gt;= 0,9",IF(Tabel264041[[#This Row],[Routeadvies]]="Hergebruik &gt; recycling","&gt;= 0,7 en &lt; 0,9",IF(Tabel264041[[#This Row],[Routeadvies]]="Recycling","&gt;= 0,35 en &lt; 0,7",IF(Tabel264041[[#This Row],[Routeadvies]]="Handmatig beoordelen","&lt; 0,35",""))))</f>
        <v/>
      </c>
      <c r="L32" s="286">
        <f>IF($B32="Totaal","Totaal",IF(OR($B32="Funderingen",$B32="Heipalen",$B32="Prefab elementen",$B32="Kanaalplaatvloeren",$B32="Breedplaatvloeren",$B32="Trappen",$B32="Gevelpanelen",$B32="ramen"),"Bijzonder beton",IF($G32="","Handmatig beoordelen",IF($G32&gt;=4,"A-beton",IF($G32&gt;=3,"B-beton",IF($G32&gt;0,"C-beton","Handmatig beoordelen"))))))</f>
        <v/>
      </c>
      <c r="M32" s="343">
        <f>IFERROR(Tabel264041[[#This Row],[BIM-volume m³]]*Beton!$M$3+Tabel264041[[#This Row],[BIM-volume m³]]*Tabel264041[[#This Row],[Transport Impact]]*IF(Tabel264041[[#This Row],[Transportafstand (km)]]="",0,Tabel264041[[#This Row],[Transportafstand (km)]]),0)</f>
        <v/>
      </c>
      <c r="N32" s="292">
        <f>IFERROR(Tabel264041[[#This Row],[BIM-volume m³]]*Beton!$N$3+Tabel264041[[#This Row],[BIM-volume m³]]*Tabel264041[[#This Row],[Transport Impact]]*IF(Tabel264041[[#This Row],[Transportafstand (km)]]="",0,Tabel264041[[#This Row],[Transportafstand (km)]]),0)</f>
        <v/>
      </c>
      <c r="O32" s="292">
        <f>IFERROR(Tabel264041[[#This Row],[BIM-volume m³]]*Beton!$O$3+Tabel264041[[#This Row],[BIM-volume m³]]*Tabel264041[[#This Row],[Transport Impact]]*IF(Tabel264041[[#This Row],[Transportafstand (km)]]="",0,Tabel264041[[#This Row],[Transportafstand (km)]]),0)</f>
        <v/>
      </c>
      <c r="P32" s="293">
        <f>IFERROR(MAX(0,Tabel264041[[#This Row],[Tot. nieuw CO2 (kg)]]-MIN(IF(Tabel264041[[#This Row],[Tot. hergebruik CO2 (kg)]]=0,999999,Tabel264041[[#This Row],[Tot. hergebruik CO2 (kg)]]),IF(Tabel264041[[#This Row],[Tot. recycling Co2 (kg)]]=0,999999,Tabel264041[[#This Row],[Tot. recycling Co2 (kg)]]))),0)</f>
        <v/>
      </c>
      <c r="Q32" s="291">
        <f>IF(OR($M32="",$M32=0),"Geen beoordeling",IF(AND($N32=0,$O32=0),"Geen beoordeling",IF($N32&lt;$O32,"Hergebruik",IF($O32&lt;$N32,"Recycling","Hergebruik en recycling gelijk"))))</f>
        <v/>
      </c>
      <c r="R32" s="286">
        <f>IFERROR(Tabel264041[[#This Row],[BIM-volume m³]]*Tabel264041[[#This Row],[PRR]],0)</f>
        <v/>
      </c>
      <c r="S32" s="401">
        <f>IFERROR(VLOOKUP(Tabel264041[[#This Row],[Klasse]],Beton!$A$10:$D$13,4,FALSE),0)</f>
        <v/>
      </c>
      <c r="T32" s="399">
        <f>+Tabel264041[[#This Row],[Praktisch terugwinbaar volume m³]]*Tabel264041[[#This Row],[Verkoopprijs per m³]]</f>
        <v/>
      </c>
      <c r="U32" s="332">
        <f>IF(OR($L32="Handmatig beoordelen",$L32="",$L32="Totaal",$I32=""),"Handmatig",IF($I32&gt;=50%,"Ja","Nee"))</f>
        <v/>
      </c>
      <c r="V32" s="287">
        <f>IF(OR($L32="Handmatig beoordelen",$L32="",$L32="Totaal",$Q32=""),"Handmatig",IF(OR($Q32="Hergebruik",$Q32="Recycling",$Q32="Hergebruik en recycling",$Q32="Hergebruik en recycling gelijk"),"Ja","Nee"))</f>
        <v/>
      </c>
      <c r="W32" s="287">
        <f>IF(OR($L32="Handmatig beoordelen",$L32="",$L32="Totaal"),"Handmatig",IF($T32&gt;0,"Ja","Nee"))</f>
        <v/>
      </c>
      <c r="X32" s="333">
        <f>IF(OR($U32="Handmatig",$V32="Handmatig",$W32="Handmatig"),"Handmatig beoordelen",IF(COUNTIF($U32:$W32,"Ja")&gt;=2,"Interessant",IF(COUNTIF($U32:$W32,"Ja")=1,"Eigen beoordeling","Niet interessant")))</f>
        <v/>
      </c>
      <c r="Y32" s="301" t="n"/>
      <c r="Z32" s="301" t="n"/>
      <c r="AA32" s="301" t="n"/>
      <c r="AB32" s="301" t="n"/>
      <c r="AC32" s="301" t="n"/>
      <c r="AD32" s="301" t="n"/>
      <c r="AE32" s="301" t="n"/>
      <c r="AF32" s="301" t="n"/>
      <c r="AG32" s="301" t="n"/>
      <c r="AH32" s="301" t="n"/>
      <c r="AI32" s="301" t="n"/>
      <c r="AJ32" s="301" t="n"/>
      <c r="AK32" s="301" t="n"/>
      <c r="AL32" s="301" t="n"/>
    </row>
    <row r="33">
      <c r="A33" s="337" t="inlineStr">
        <is>
          <t>Beton</t>
        </is>
      </c>
      <c r="B33" s="285" t="inlineStr">
        <is>
          <t>Daken</t>
        </is>
      </c>
      <c r="C33" s="275">
        <f>'Beton-data'!B8</f>
        <v/>
      </c>
      <c r="D33" s="277" t="n">
        <v>4</v>
      </c>
      <c r="E33" s="276" t="n">
        <v>20</v>
      </c>
      <c r="F33" s="279" t="n">
        <v>5</v>
      </c>
      <c r="G33" s="279" t="n">
        <v>3</v>
      </c>
      <c r="H33" s="279" t="n">
        <v>1</v>
      </c>
      <c r="I33" s="288">
        <f>IFERROR(ROUND(AVERAGE(Tabel264041[[#This Row],[Demonteerbaarheid]],Tabel264041[[#This Row],[Materiaalconditie ]],Tabel264041[[#This Row],[Marktpotentie ]])/5,2),0)</f>
        <v/>
      </c>
      <c r="J33" s="287">
        <f>IF(Tabel264041[[#This Row],[PRR]]="","Handmatig beoordelen",IF(Tabel264041[[#This Row],[PRR]]&gt;=0.9,"Hergebruik",IF(Tabel264041[[#This Row],[PRR]]&gt;=0.7,"Hergebruik &gt; recycling",IF(Tabel264041[[#This Row],[PRR]]&gt;=0.35,"Recycling","Handmatig beoordelen"))))</f>
        <v/>
      </c>
      <c r="K33" s="287">
        <f>IF(Tabel264041[[#This Row],[Routeadvies]]="Hergebruik","&gt;= 0,9",IF(Tabel264041[[#This Row],[Routeadvies]]="Hergebruik &gt; recycling","&gt;= 0,7 en &lt; 0,9",IF(Tabel264041[[#This Row],[Routeadvies]]="Recycling","&gt;= 0,35 en &lt; 0,7",IF(Tabel264041[[#This Row],[Routeadvies]]="Handmatig beoordelen","&lt; 0,35",""))))</f>
        <v/>
      </c>
      <c r="L33" s="286">
        <f>IF($B33="Totaal","Totaal",IF(OR($B33="Funderingen",$B33="Heipalen",$B33="Prefab elementen",$B33="Kanaalplaatvloeren",$B33="Breedplaatvloeren",$B33="Trappen",$B33="Gevelpanelen",$B33="ramen"),"Bijzonder beton",IF($G33="","Handmatig beoordelen",IF($G33&gt;=4,"A-beton",IF($G33&gt;=3,"B-beton",IF($G33&gt;0,"C-beton","Handmatig beoordelen"))))))</f>
        <v/>
      </c>
      <c r="M33" s="343">
        <f>IFERROR(Tabel264041[[#This Row],[BIM-volume m³]]*Beton!$M$3+Tabel264041[[#This Row],[BIM-volume m³]]*Tabel264041[[#This Row],[Transport Impact]]*IF(Tabel264041[[#This Row],[Transportafstand (km)]]="",0,Tabel264041[[#This Row],[Transportafstand (km)]]),0)</f>
        <v/>
      </c>
      <c r="N33" s="292">
        <f>IFERROR(Tabel264041[[#This Row],[BIM-volume m³]]*Beton!$N$3+Tabel264041[[#This Row],[BIM-volume m³]]*Tabel264041[[#This Row],[Transport Impact]]*IF(Tabel264041[[#This Row],[Transportafstand (km)]]="",0,Tabel264041[[#This Row],[Transportafstand (km)]]),0)</f>
        <v/>
      </c>
      <c r="O33" s="292">
        <f>IFERROR(Tabel264041[[#This Row],[BIM-volume m³]]*Beton!$O$3+Tabel264041[[#This Row],[BIM-volume m³]]*Tabel264041[[#This Row],[Transport Impact]]*IF(Tabel264041[[#This Row],[Transportafstand (km)]]="",0,Tabel264041[[#This Row],[Transportafstand (km)]]),0)</f>
        <v/>
      </c>
      <c r="P33" s="292">
        <f>IFERROR(MAX(0,Tabel264041[[#This Row],[Tot. nieuw CO2 (kg)]]-MIN(IF(Tabel264041[[#This Row],[Tot. hergebruik CO2 (kg)]]=0,999999,Tabel264041[[#This Row],[Tot. hergebruik CO2 (kg)]]),IF(Tabel264041[[#This Row],[Tot. recycling Co2 (kg)]]=0,999999,Tabel264041[[#This Row],[Tot. recycling Co2 (kg)]]))),0)</f>
        <v/>
      </c>
      <c r="Q33" s="291">
        <f>IF(OR($M33="",$M33=0),"Geen beoordeling",IF(AND($N33=0,$O33=0),"Geen beoordeling",IF($N33&lt;$O33,"Hergebruik",IF($O33&lt;$N33,"Recycling","Hergebruik en recycling gelijk"))))</f>
        <v/>
      </c>
      <c r="R33" s="334">
        <f>IFERROR(Tabel264041[[#This Row],[BIM-volume m³]]*Tabel264041[[#This Row],[PRR]],0)</f>
        <v/>
      </c>
      <c r="S33" s="401">
        <f>IFERROR(VLOOKUP(Tabel264041[[#This Row],[Klasse]],Beton!$A$10:$D$13,4,FALSE),0)</f>
        <v/>
      </c>
      <c r="T33" s="399">
        <f>+Tabel264041[[#This Row],[Praktisch terugwinbaar volume m³]]*Tabel264041[[#This Row],[Verkoopprijs per m³]]</f>
        <v/>
      </c>
      <c r="U33" s="332">
        <f>IF(OR($L33="Handmatig beoordelen",$L33="",$L33="Totaal",$I33=""),"Handmatig",IF($I33&gt;=50%,"Ja","Nee"))</f>
        <v/>
      </c>
      <c r="V33" s="287">
        <f>IF(OR($L33="Handmatig beoordelen",$L33="",$L33="Totaal",$Q33=""),"Handmatig",IF(OR($Q33="Hergebruik",$Q33="Recycling",$Q33="Hergebruik en recycling",$Q33="Hergebruik en recycling gelijk"),"Ja","Nee"))</f>
        <v/>
      </c>
      <c r="W33" s="287">
        <f>IF(OR($L33="Handmatig beoordelen",$L33="",$L33="Totaal"),"Handmatig",IF($T33&gt;0,"Ja","Nee"))</f>
        <v/>
      </c>
      <c r="X33" s="333">
        <f>IF(OR($U33="Handmatig",$V33="Handmatig",$W33="Handmatig"),"Handmatig beoordelen",IF(COUNTIF($U33:$W33,"Ja")&gt;=2,"Interessant",IF(COUNTIF($U33:$W33,"Ja")=1,"Eigen beoordeling","Niet interessant")))</f>
        <v/>
      </c>
      <c r="Y33" s="301" t="n"/>
      <c r="Z33" s="301" t="n"/>
      <c r="AA33" s="301" t="n"/>
      <c r="AB33" s="301" t="n"/>
      <c r="AC33" s="301" t="n"/>
      <c r="AD33" s="301" t="n"/>
      <c r="AE33" s="301" t="n"/>
      <c r="AF33" s="301" t="n"/>
      <c r="AG33" s="301" t="n"/>
      <c r="AH33" s="301" t="n"/>
      <c r="AI33" s="301" t="n"/>
      <c r="AJ33" s="301" t="n"/>
      <c r="AK33" s="301" t="n"/>
      <c r="AL33" s="301" t="n"/>
    </row>
    <row r="34">
      <c r="A34" s="337" t="inlineStr">
        <is>
          <t>Beton</t>
        </is>
      </c>
      <c r="B34" s="285" t="inlineStr">
        <is>
          <t>Wanden</t>
        </is>
      </c>
      <c r="C34" s="275">
        <f>'Beton-data'!B9</f>
        <v/>
      </c>
      <c r="D34" s="277" t="n">
        <v>4</v>
      </c>
      <c r="E34" s="276" t="n">
        <v>20</v>
      </c>
      <c r="F34" s="279" t="n">
        <v>1</v>
      </c>
      <c r="G34" s="279" t="n">
        <v>2</v>
      </c>
      <c r="H34" s="279" t="n">
        <v>2</v>
      </c>
      <c r="I34" s="288">
        <f>IFERROR(ROUND(AVERAGE(Tabel264041[[#This Row],[Demonteerbaarheid]],Tabel264041[[#This Row],[Materiaalconditie ]],Tabel264041[[#This Row],[Marktpotentie ]])/5,2),0)</f>
        <v/>
      </c>
      <c r="J34" s="287">
        <f>IF(Tabel264041[[#This Row],[PRR]]="","Handmatig beoordelen",IF(Tabel264041[[#This Row],[PRR]]&gt;=0.9,"Hergebruik",IF(Tabel264041[[#This Row],[PRR]]&gt;=0.7,"Hergebruik &gt; recycling",IF(Tabel264041[[#This Row],[PRR]]&gt;=0.35,"Recycling","Handmatig beoordelen"))))</f>
        <v/>
      </c>
      <c r="K34" s="287">
        <f>IF(Tabel264041[[#This Row],[Routeadvies]]="Hergebruik","&gt;= 0,9",IF(Tabel264041[[#This Row],[Routeadvies]]="Hergebruik &gt; recycling","&gt;= 0,7 en &lt; 0,9",IF(Tabel264041[[#This Row],[Routeadvies]]="Recycling","&gt;= 0,35 en &lt; 0,7",IF(Tabel264041[[#This Row],[Routeadvies]]="Handmatig beoordelen","&lt; 0,35",""))))</f>
        <v/>
      </c>
      <c r="L34" s="286">
        <f>IF($B34="Totaal","Totaal",IF(OR($B34="Funderingen",$B34="Heipalen",$B34="Prefab elementen",$B34="Kanaalplaatvloeren",$B34="Breedplaatvloeren",$B34="Trappen",$B34="Gevelpanelen",$B34="ramen"),"Bijzonder beton",IF($G34="","Handmatig beoordelen",IF($G34&gt;=4,"A-beton",IF($G34&gt;=3,"B-beton",IF($G34&gt;0,"C-beton","Handmatig beoordelen"))))))</f>
        <v/>
      </c>
      <c r="M34" s="343">
        <f>IFERROR(Tabel264041[[#This Row],[BIM-volume m³]]*Beton!$M$3+Tabel264041[[#This Row],[BIM-volume m³]]*Tabel264041[[#This Row],[Transport Impact]]*IF(Tabel264041[[#This Row],[Transportafstand (km)]]="",0,Tabel264041[[#This Row],[Transportafstand (km)]]),0)</f>
        <v/>
      </c>
      <c r="N34" s="292">
        <f>IFERROR(Tabel264041[[#This Row],[BIM-volume m³]]*Beton!$N$3+Tabel264041[[#This Row],[BIM-volume m³]]*Tabel264041[[#This Row],[Transport Impact]]*IF(Tabel264041[[#This Row],[Transportafstand (km)]]="",0,Tabel264041[[#This Row],[Transportafstand (km)]]),0)</f>
        <v/>
      </c>
      <c r="O34" s="292">
        <f>IFERROR(Tabel264041[[#This Row],[BIM-volume m³]]*Beton!$O$3+Tabel264041[[#This Row],[BIM-volume m³]]*Tabel264041[[#This Row],[Transport Impact]]*IF(Tabel264041[[#This Row],[Transportafstand (km)]]="",0,Tabel264041[[#This Row],[Transportafstand (km)]]),0)</f>
        <v/>
      </c>
      <c r="P34" s="292">
        <f>IFERROR(MAX(0,Tabel264041[[#This Row],[Tot. nieuw CO2 (kg)]]-MIN(IF(Tabel264041[[#This Row],[Tot. hergebruik CO2 (kg)]]=0,999999,Tabel264041[[#This Row],[Tot. hergebruik CO2 (kg)]]),IF(Tabel264041[[#This Row],[Tot. recycling Co2 (kg)]]=0,999999,Tabel264041[[#This Row],[Tot. recycling Co2 (kg)]]))),0)</f>
        <v/>
      </c>
      <c r="Q34" s="294">
        <f>IF(OR($M34="",$M34=0),"Geen beoordeling",IF(AND($N34=0,$O34=0),"Geen beoordeling",IF($N34&lt;$O34,"Hergebruik",IF($O34&lt;$N34,"Recycling","Hergebruik en recycling gelijk"))))</f>
        <v/>
      </c>
      <c r="R34" s="286">
        <f>IFERROR(Tabel264041[[#This Row],[BIM-volume m³]]*Tabel264041[[#This Row],[PRR]],0)</f>
        <v/>
      </c>
      <c r="S34" s="402">
        <f>IFERROR(VLOOKUP(Tabel264041[[#This Row],[Klasse]],Beton!$A$10:$D$13,4,FALSE),0)</f>
        <v/>
      </c>
      <c r="T34" s="399">
        <f>+Tabel264041[[#This Row],[Praktisch terugwinbaar volume m³]]*Tabel264041[[#This Row],[Verkoopprijs per m³]]</f>
        <v/>
      </c>
      <c r="U34" s="332">
        <f>IF(OR($L34="Handmatig beoordelen",$L34="",$L34="Totaal",$I34=""),"Handmatig",IF($I34&gt;=50%,"Ja","Nee"))</f>
        <v/>
      </c>
      <c r="V34" s="287">
        <f>IF(OR($L34="Handmatig beoordelen",$L34="",$L34="Totaal",$Q34=""),"Handmatig",IF(OR($Q34="Hergebruik",$Q34="Recycling",$Q34="Hergebruik en recycling",$Q34="Hergebruik en recycling gelijk"),"Ja","Nee"))</f>
        <v/>
      </c>
      <c r="W34" s="287">
        <f>IF(OR($L34="Handmatig beoordelen",$L34="",$L34="Totaal"),"Handmatig",IF($T34&gt;0,"Ja","Nee"))</f>
        <v/>
      </c>
      <c r="X34" s="333">
        <f>IF(OR($U34="Handmatig",$V34="Handmatig",$W34="Handmatig"),"Handmatig beoordelen",IF(COUNTIF($U34:$W34,"Ja")&gt;=2,"Interessant",IF(COUNTIF($U34:$W34,"Ja")=1,"Eigen beoordeling","Niet interessant")))</f>
        <v/>
      </c>
      <c r="Y34" s="301" t="n"/>
      <c r="Z34" s="301" t="n"/>
      <c r="AA34" s="301" t="n"/>
      <c r="AB34" s="301" t="n"/>
      <c r="AC34" s="301" t="n"/>
      <c r="AD34" s="301" t="n"/>
      <c r="AE34" s="301" t="n"/>
      <c r="AF34" s="301" t="n"/>
      <c r="AG34" s="301" t="n"/>
      <c r="AH34" s="301" t="n"/>
      <c r="AI34" s="301" t="n"/>
      <c r="AJ34" s="301" t="n"/>
      <c r="AK34" s="301" t="n"/>
      <c r="AL34" s="301" t="n"/>
    </row>
    <row r="35">
      <c r="A35" s="337" t="inlineStr">
        <is>
          <t>Beton</t>
        </is>
      </c>
      <c r="B35" s="285" t="inlineStr">
        <is>
          <t>Ramen</t>
        </is>
      </c>
      <c r="C35" s="275">
        <f>'Beton-data'!B10</f>
        <v/>
      </c>
      <c r="D35" s="277" t="n">
        <v>4</v>
      </c>
      <c r="E35" s="276" t="n">
        <v>20</v>
      </c>
      <c r="F35" s="279" t="n">
        <v>5</v>
      </c>
      <c r="G35" s="279" t="n">
        <v>1</v>
      </c>
      <c r="H35" s="279" t="n">
        <v>2</v>
      </c>
      <c r="I35" s="288">
        <f>IFERROR(ROUND(AVERAGE(Tabel264041[[#This Row],[Demonteerbaarheid]],Tabel264041[[#This Row],[Materiaalconditie ]],Tabel264041[[#This Row],[Marktpotentie ]])/5,2),0)</f>
        <v/>
      </c>
      <c r="J35" s="287">
        <f>IF(Tabel264041[[#This Row],[PRR]]="","Handmatig beoordelen",IF(Tabel264041[[#This Row],[PRR]]&gt;=0.9,"Hergebruik",IF(Tabel264041[[#This Row],[PRR]]&gt;=0.7,"Hergebruik &gt; recycling",IF(Tabel264041[[#This Row],[PRR]]&gt;=0.35,"Recycling","Handmatig beoordelen"))))</f>
        <v/>
      </c>
      <c r="K35" s="287">
        <f>IF(Tabel264041[[#This Row],[Routeadvies]]="Hergebruik","&gt;= 0,9",IF(Tabel264041[[#This Row],[Routeadvies]]="Hergebruik &gt; recycling","&gt;= 0,7 en &lt; 0,9",IF(Tabel264041[[#This Row],[Routeadvies]]="Recycling","&gt;= 0,35 en &lt; 0,7",IF(Tabel264041[[#This Row],[Routeadvies]]="Handmatig beoordelen","&lt; 0,35",""))))</f>
        <v/>
      </c>
      <c r="L35" s="286">
        <f>IF($B35="Totaal","Totaal",IF(OR($B35="Funderingen",$B35="Heipalen",$B35="Prefab elementen",$B35="Kanaalplaatvloeren",$B35="Breedplaatvloeren",$B35="Trappen",$B35="Gevelpanelen",$B35="ramen"),"Bijzonder beton",IF($G35="","Handmatig beoordelen",IF($G35&gt;=4,"A-beton",IF($G35&gt;=3,"B-beton",IF($G35&gt;0,"C-beton","Handmatig beoordelen"))))))</f>
        <v/>
      </c>
      <c r="M35" s="343">
        <f>IFERROR(Tabel264041[[#This Row],[BIM-volume m³]]*Beton!$M$3+Tabel264041[[#This Row],[BIM-volume m³]]*Tabel264041[[#This Row],[Transport Impact]]*IF(Tabel264041[[#This Row],[Transportafstand (km)]]="",0,Tabel264041[[#This Row],[Transportafstand (km)]]),0)</f>
        <v/>
      </c>
      <c r="N35" s="292">
        <f>IFERROR(Tabel264041[[#This Row],[BIM-volume m³]]*Beton!$N$3+Tabel264041[[#This Row],[BIM-volume m³]]*Tabel264041[[#This Row],[Transport Impact]]*IF(Tabel264041[[#This Row],[Transportafstand (km)]]="",0,Tabel264041[[#This Row],[Transportafstand (km)]]),0)</f>
        <v/>
      </c>
      <c r="O35" s="292">
        <f>IFERROR(Tabel264041[[#This Row],[BIM-volume m³]]*Beton!$O$3+Tabel264041[[#This Row],[BIM-volume m³]]*Tabel264041[[#This Row],[Transport Impact]]*IF(Tabel264041[[#This Row],[Transportafstand (km)]]="",0,Tabel264041[[#This Row],[Transportafstand (km)]]),0)</f>
        <v/>
      </c>
      <c r="P35" s="292">
        <f>IFERROR(MAX(0,Tabel264041[[#This Row],[Tot. nieuw CO2 (kg)]]-MIN(IF(Tabel264041[[#This Row],[Tot. hergebruik CO2 (kg)]]=0,999999,Tabel264041[[#This Row],[Tot. hergebruik CO2 (kg)]]),IF(Tabel264041[[#This Row],[Tot. recycling Co2 (kg)]]=0,999999,Tabel264041[[#This Row],[Tot. recycling Co2 (kg)]]))),0)</f>
        <v/>
      </c>
      <c r="Q35" s="291">
        <f>IF(OR($M35="",$M35=0),"Geen beoordeling",IF(AND($N35=0,$O35=0),"Geen beoordeling",IF($N35&lt;$O35,"Hergebruik",IF($O35&lt;$N35,"Recycling","Hergebruik en recycling gelijk"))))</f>
        <v/>
      </c>
      <c r="R35" s="344">
        <f>IFERROR(Tabel264041[[#This Row],[BIM-volume m³]]*Tabel264041[[#This Row],[PRR]],0)</f>
        <v/>
      </c>
      <c r="S35" s="401">
        <f>IFERROR(VLOOKUP(Tabel264041[[#This Row],[Klasse]],Beton!$A$10:$D$13,4,FALSE),0)</f>
        <v/>
      </c>
      <c r="T35" s="399">
        <f>+Tabel264041[[#This Row],[Praktisch terugwinbaar volume m³]]*Tabel264041[[#This Row],[Verkoopprijs per m³]]</f>
        <v/>
      </c>
      <c r="U35" s="332">
        <f>IF(OR($L35="Handmatig beoordelen",$L35="",$L35="Totaal",$I35=""),"Handmatig",IF($I35&gt;=50%,"Ja","Nee"))</f>
        <v/>
      </c>
      <c r="V35" s="287">
        <f>IF(OR($L35="Handmatig beoordelen",$L35="",$L35="Totaal",$Q35=""),"Handmatig",IF(OR($Q35="Hergebruik",$Q35="Recycling",$Q35="Hergebruik en recycling",$Q35="Hergebruik en recycling gelijk"),"Ja","Nee"))</f>
        <v/>
      </c>
      <c r="W35" s="287">
        <f>IF(OR($L35="Handmatig beoordelen",$L35="",$L35="Totaal"),"Handmatig",IF($T35&gt;0,"Ja","Nee"))</f>
        <v/>
      </c>
      <c r="X35" s="333">
        <f>IF(OR($U35="Handmatig",$V35="Handmatig",$W35="Handmatig"),"Handmatig beoordelen",IF(COUNTIF($U35:$W35,"Ja")&gt;=2,"Interessant",IF(COUNTIF($U35:$W35,"Ja")=1,"Eigen beoordeling","Niet interessant")))</f>
        <v/>
      </c>
      <c r="Y35" s="301" t="n"/>
      <c r="Z35" s="301" t="n"/>
      <c r="AA35" s="301" t="n"/>
      <c r="AB35" s="301" t="n"/>
      <c r="AC35" s="301" t="n"/>
      <c r="AD35" s="301" t="n"/>
      <c r="AE35" s="301" t="n"/>
      <c r="AF35" s="301" t="n"/>
      <c r="AG35" s="301" t="n"/>
      <c r="AH35" s="301" t="n"/>
      <c r="AI35" s="301" t="n"/>
      <c r="AJ35" s="301" t="n"/>
      <c r="AK35" s="301" t="n"/>
      <c r="AL35" s="301" t="n"/>
    </row>
    <row r="36" ht="14" customFormat="1" customHeight="1" s="301">
      <c r="A36" s="339" t="inlineStr">
        <is>
          <t>Beton</t>
        </is>
      </c>
      <c r="B36" s="340" t="inlineStr">
        <is>
          <t>Trappen</t>
        </is>
      </c>
      <c r="C36" s="275">
        <f>'Beton-data'!B11</f>
        <v/>
      </c>
      <c r="D36" s="277" t="n">
        <v>4</v>
      </c>
      <c r="E36" s="276" t="n">
        <v>20</v>
      </c>
      <c r="F36" s="281" t="n">
        <v>5</v>
      </c>
      <c r="G36" s="281" t="n">
        <v>4</v>
      </c>
      <c r="H36" s="281" t="n">
        <v>3</v>
      </c>
      <c r="I36" s="341">
        <f>IFERROR(ROUND(AVERAGE(Tabel264041[[#This Row],[Demonteerbaarheid]],Tabel264041[[#This Row],[Materiaalconditie ]],Tabel264041[[#This Row],[Marktpotentie ]])/5,2),0)</f>
        <v/>
      </c>
      <c r="J36" s="287">
        <f>IF(Tabel264041[[#This Row],[PRR]]="","Handmatig beoordelen",IF(Tabel264041[[#This Row],[PRR]]&gt;=0.9,"Hergebruik",IF(Tabel264041[[#This Row],[PRR]]&gt;=0.7,"Hergebruik &gt; recycling",IF(Tabel264041[[#This Row],[PRR]]&gt;=0.35,"Recycling","Handmatig beoordelen"))))</f>
        <v/>
      </c>
      <c r="K36" s="287">
        <f>IF(Tabel264041[[#This Row],[Routeadvies]]="Hergebruik","&gt;= 0,9",IF(Tabel264041[[#This Row],[Routeadvies]]="Hergebruik &gt; recycling","&gt;= 0,7 en &lt; 0,9",IF(Tabel264041[[#This Row],[Routeadvies]]="Recycling","&gt;= 0,35 en &lt; 0,7",IF(Tabel264041[[#This Row],[Routeadvies]]="Handmatig beoordelen","&lt; 0,35",""))))</f>
        <v/>
      </c>
      <c r="L36" s="334">
        <f>IF($B36="Totaal","Totaal",IF(OR($B36="Funderingen",$B36="Heipalen",$B36="Prefab elementen",$B36="Kanaalplaatvloeren",$B36="Breedplaatvloeren",$B36="Trappen",$B36="Gevelpanelen",$B36="ramen"),"Bijzonder beton",IF($G36="","Handmatig beoordelen",IF($G36&gt;=4,"A-beton",IF($G36&gt;=3,"B-beton",IF($G36&gt;0,"C-beton","Handmatig beoordelen"))))))</f>
        <v/>
      </c>
      <c r="M36" s="343">
        <f>IFERROR(Tabel264041[[#This Row],[BIM-volume m³]]*Beton!$M$3+Tabel264041[[#This Row],[BIM-volume m³]]*Tabel264041[[#This Row],[Transport Impact]]*IF(Tabel264041[[#This Row],[Transportafstand (km)]]="",0,Tabel264041[[#This Row],[Transportafstand (km)]]),0)</f>
        <v/>
      </c>
      <c r="N36" s="345">
        <f>IFERROR(Tabel264041[[#This Row],[BIM-volume m³]]*Beton!$N$3+Tabel264041[[#This Row],[BIM-volume m³]]*Tabel264041[[#This Row],[Transport Impact]]*IF(Tabel264041[[#This Row],[Transportafstand (km)]]="",0,Tabel264041[[#This Row],[Transportafstand (km)]]),0)</f>
        <v/>
      </c>
      <c r="O36" s="292">
        <f>IFERROR(Tabel264041[[#This Row],[BIM-volume m³]]*Beton!$O$3+Tabel264041[[#This Row],[BIM-volume m³]]*Tabel264041[[#This Row],[Transport Impact]]*IF(Tabel264041[[#This Row],[Transportafstand (km)]]="",0,Tabel264041[[#This Row],[Transportafstand (km)]]),0)</f>
        <v/>
      </c>
      <c r="P36" s="292">
        <f>IFERROR(MAX(0,Tabel264041[[#This Row],[Tot. nieuw CO2 (kg)]]-MIN(IF(Tabel264041[[#This Row],[Tot. hergebruik CO2 (kg)]]=0,999999,Tabel264041[[#This Row],[Tot. hergebruik CO2 (kg)]]),IF(Tabel264041[[#This Row],[Tot. recycling Co2 (kg)]]=0,999999,Tabel264041[[#This Row],[Tot. recycling Co2 (kg)]]))),0)</f>
        <v/>
      </c>
      <c r="Q36" s="342">
        <f>IF(OR($M36="",$M36=0),"Geen beoordeling",IF(AND($N36=0,$O36=0),"Geen beoordeling",IF($N36&lt;$O36,"Hergebruik",IF($O36&lt;$N36,"Recycling","Hergebruik en recycling gelijk"))))</f>
        <v/>
      </c>
      <c r="R36" s="286">
        <f>IFERROR(Tabel264041[[#This Row],[BIM-volume m³]]*Tabel264041[[#This Row],[PRR]],0)</f>
        <v/>
      </c>
      <c r="S36" s="401">
        <f>IFERROR(VLOOKUP(Tabel264041[[#This Row],[Klasse]],Beton!$A$10:$D$13,4,FALSE),0)</f>
        <v/>
      </c>
      <c r="T36" s="399">
        <f>+Tabel264041[[#This Row],[Praktisch terugwinbaar volume m³]]*Tabel264041[[#This Row],[Verkoopprijs per m³]]</f>
        <v/>
      </c>
      <c r="U36" s="332">
        <f>IF(OR($L36="Handmatig beoordelen",$L36="",$L36="Totaal",$I36=""),"Handmatig",IF($I36&gt;=50%,"Ja","Nee"))</f>
        <v/>
      </c>
      <c r="V36" s="287">
        <f>IF(OR($L36="Handmatig beoordelen",$L36="",$L36="Totaal",$Q36=""),"Handmatig",IF(OR($Q36="Hergebruik",$Q36="Recycling",$Q36="Hergebruik en recycling",$Q36="Hergebruik en recycling gelijk"),"Ja","Nee"))</f>
        <v/>
      </c>
      <c r="W36" s="287">
        <f>IF(OR($L36="Handmatig beoordelen",$L36="",$L36="Totaal"),"Handmatig",IF($T36&gt;0,"Ja","Nee"))</f>
        <v/>
      </c>
      <c r="X36" s="333">
        <f>IF(OR($U36="Handmatig",$V36="Handmatig",$W36="Handmatig"),"Handmatig beoordelen",IF(COUNTIF($U36:$W36,"Ja")&gt;=2,"Interessant",IF(COUNTIF($U36:$W36,"Ja")=1,"Eigen beoordeling","Niet interessant")))</f>
        <v/>
      </c>
    </row>
    <row r="37" ht="13.5" customHeight="1">
      <c r="A37" s="312" t="n"/>
      <c r="B37" s="313" t="n"/>
      <c r="C37" s="313" t="n"/>
      <c r="D37" s="313" t="n"/>
      <c r="E37" s="313" t="n"/>
      <c r="F37" s="314" t="n"/>
      <c r="G37" s="314" t="n"/>
      <c r="H37" s="314" t="n"/>
      <c r="I37" s="313" t="n"/>
      <c r="J37" s="313" t="n"/>
      <c r="K37" s="313" t="n"/>
      <c r="L37" s="313" t="n"/>
      <c r="M37" s="313" t="n"/>
      <c r="N37" s="313" t="n"/>
      <c r="O37" s="313" t="n"/>
      <c r="P37" s="315" t="n"/>
      <c r="Q37" s="313" t="n"/>
      <c r="R37" s="313" t="n"/>
      <c r="S37" s="316" t="n"/>
      <c r="T37" s="301" t="n"/>
      <c r="U37" s="301" t="n"/>
      <c r="V37" s="301" t="n"/>
      <c r="W37" s="301" t="n"/>
      <c r="X37" s="301" t="n"/>
      <c r="Y37" s="301" t="n"/>
      <c r="Z37" s="301" t="n"/>
      <c r="AA37" s="301" t="n"/>
      <c r="AB37" s="301" t="n"/>
      <c r="AC37" s="301" t="n"/>
      <c r="AD37" s="301" t="n"/>
      <c r="AE37" s="301" t="n"/>
      <c r="AF37" s="301" t="n"/>
      <c r="AG37" s="301" t="n"/>
      <c r="AH37" s="301" t="n"/>
      <c r="AI37" s="301" t="n"/>
      <c r="AJ37" s="301" t="n"/>
      <c r="AK37" s="301" t="n"/>
      <c r="AL37" s="301" t="n"/>
    </row>
    <row r="38" ht="42.75" customHeight="1">
      <c r="A38" s="303" t="inlineStr">
        <is>
          <t>Materiaalstroom</t>
        </is>
      </c>
      <c r="B38" s="304" t="inlineStr">
        <is>
          <t xml:space="preserve"> Bouwdeel uit BIM</t>
        </is>
      </c>
      <c r="C38" s="304" t="inlineStr">
        <is>
          <t>BIM-volume m³</t>
        </is>
      </c>
      <c r="D38" s="366" t="inlineStr">
        <is>
          <t>Transport Impact</t>
        </is>
      </c>
      <c r="E38" s="366" t="inlineStr">
        <is>
          <t>Transportafstand (km)</t>
        </is>
      </c>
      <c r="F38" s="367" t="inlineStr">
        <is>
          <t>Demonteerbaarheid</t>
        </is>
      </c>
      <c r="G38" s="367" t="inlineStr">
        <is>
          <t xml:space="preserve">Materiaalconditie </t>
        </is>
      </c>
      <c r="H38" s="367" t="inlineStr">
        <is>
          <t xml:space="preserve">Marktpotentie </t>
        </is>
      </c>
      <c r="I38" s="304" t="inlineStr">
        <is>
          <t>PRR</t>
        </is>
      </c>
      <c r="J38" s="304" t="inlineStr">
        <is>
          <t>Routeadvies</t>
        </is>
      </c>
      <c r="K38" s="349" t="inlineStr">
        <is>
          <t>Grenswaarde</t>
        </is>
      </c>
      <c r="L38" s="304" t="inlineStr">
        <is>
          <t>Klasse</t>
        </is>
      </c>
      <c r="M38" s="305" t="inlineStr">
        <is>
          <t>Tot. nieuw CO2 (kg)</t>
        </is>
      </c>
      <c r="N38" s="304" t="inlineStr">
        <is>
          <t>Tot. hergebruik CO2 (kg)</t>
        </is>
      </c>
      <c r="O38" s="304" t="inlineStr">
        <is>
          <t>Tot. recycling Co2 (kg)</t>
        </is>
      </c>
      <c r="P38" s="304" t="inlineStr">
        <is>
          <t>Klimaatbesparing kg CO₂</t>
        </is>
      </c>
      <c r="Q38" s="304" t="inlineStr">
        <is>
          <t>Routeadvies 2</t>
        </is>
      </c>
      <c r="R38" s="304" t="inlineStr">
        <is>
          <t>Praktisch terugwinbaar volume m³</t>
        </is>
      </c>
      <c r="S38" s="304" t="inlineStr">
        <is>
          <t>Verkoopprijs per m³</t>
        </is>
      </c>
      <c r="T38" s="304" t="inlineStr">
        <is>
          <t>Financiële marktwaarde excl. kosten</t>
        </is>
      </c>
      <c r="U38" s="368" t="inlineStr">
        <is>
          <t>Recovery hoog?</t>
        </is>
      </c>
      <c r="V38" s="368" t="inlineStr">
        <is>
          <t>Klimaat positief?</t>
        </is>
      </c>
      <c r="W38" s="368" t="inlineStr">
        <is>
          <t>Financiele positief?</t>
        </is>
      </c>
      <c r="X38" s="369" t="inlineStr">
        <is>
          <t>Eindbeoordeling</t>
        </is>
      </c>
      <c r="Y38" s="301" t="n"/>
      <c r="Z38" s="301" t="n"/>
      <c r="AA38" s="301" t="n"/>
      <c r="AB38" s="301" t="n"/>
      <c r="AC38" s="301" t="n"/>
      <c r="AD38" s="301" t="n"/>
      <c r="AE38" s="301" t="n"/>
      <c r="AF38" s="301" t="n"/>
      <c r="AG38" s="301" t="n"/>
      <c r="AH38" s="301" t="n"/>
      <c r="AI38" s="301" t="n"/>
      <c r="AJ38" s="301" t="n"/>
      <c r="AK38" s="301" t="n"/>
      <c r="AL38" s="301" t="n"/>
    </row>
    <row r="39">
      <c r="A39" s="337" t="inlineStr">
        <is>
          <t>Aluminium</t>
        </is>
      </c>
      <c r="B39" s="338" t="inlineStr">
        <is>
          <t>Totaal</t>
        </is>
      </c>
      <c r="C39" s="275">
        <f>'Aluminium-data'!B2</f>
        <v/>
      </c>
      <c r="D39" s="275" t="n"/>
      <c r="E39" s="276">
        <f>""</f>
        <v/>
      </c>
      <c r="F39" s="276">
        <f>AVERAGE(F40:F48)</f>
        <v/>
      </c>
      <c r="G39" s="276">
        <f>AVERAGE(G40:G48)</f>
        <v/>
      </c>
      <c r="H39" s="276">
        <f>AVERAGE(H40:H48)</f>
        <v/>
      </c>
      <c r="I39" s="288">
        <f>IFERROR(ROUND(AVERAGE(Tabel26404139[[#This Row],[Demonteerbaarheid]],Tabel26404139[[#This Row],[Materiaalconditie ]],Tabel26404139[[#This Row],[Marktpotentie ]])/5,2),0)</f>
        <v/>
      </c>
      <c r="J39" s="287">
        <f>IF(Tabel26404139[[#This Row],[PRR]]="","Handmatig beoordelen",IF(Tabel26404139[[#This Row],[PRR]]&gt;=0.7,"Hergebruik &gt; recycling",IF(Tabel26404139[[#This Row],[PRR]]&gt;=0.25,"Recycling","Handmatig beoordelen")))</f>
        <v/>
      </c>
      <c r="K39" s="287">
        <f>IF(Tabel26404139[[#This Row],[Routeadvies]]="Hergebruik","Niet standaard toegepast",IF(Tabel26404139[[#This Row],[Routeadvies]]="Hergebruik &gt; recycling","&gt;= 0,7",IF(Tabel26404139[[#This Row],[Routeadvies]]="Recycling","&gt;= 0,25 en &lt; 0,7",IF(Tabel26404139[[#This Row],[Routeadvies]]="Handmatig beoordelen","&lt; 0,25 of geen score",""))))</f>
        <v/>
      </c>
      <c r="L39" s="286">
        <f>IF($B39="Totaal","Totaal",IF(OR($B39="Ramen",$B39="Deuren",$B39="Kozijnen",$B39="Vliesgevels",$B39="Gevelsystemen",$B39="Zonwering",$B39="Trappen"),"Bijzonder aluminium",IF($G39="","Handmatig beoordelen",IF($G39&gt;=4,"A-aluminium",IF($G39&gt;=3,"B-aluminium",IF($G39&gt;0,"C-aluminium","Handmatig beoordelen"))))))</f>
        <v/>
      </c>
      <c r="M39" s="286">
        <f>SUM(M40:M48)</f>
        <v/>
      </c>
      <c r="N39" s="286">
        <f>SUM(N40:N48)</f>
        <v/>
      </c>
      <c r="O39" s="286">
        <f>SUM(O40:O48)</f>
        <v/>
      </c>
      <c r="P39" s="290">
        <f>IF($B46="Totaal",SUM($O$4:$O$12),IFERROR(MAX(0,$M39-MIN($N39,$O39)),0))</f>
        <v/>
      </c>
      <c r="Q39" s="289">
        <f>IF(OR($M39="",$M39=0),"Geen beoordeling",IF(AND($N39=0,$O39=0),"Geen beoordeling",IF($N39&lt;$O39,"Hergebruik",IF($O39&lt;$N39,"Recycling","Hergebruik en recycling gelijk"))))</f>
        <v/>
      </c>
      <c r="R39" s="286">
        <f>IFERROR(Tabel26404139[[#This Row],[BIM-volume m³]]*Tabel26404139[[#This Row],[PRR]],0)</f>
        <v/>
      </c>
      <c r="S39" s="391">
        <f>IFERROR(VLOOKUP(Tabel26404139[[#This Row],[Klasse]],Aluminium!$A$11:$D$14,4,FALSE),0)</f>
        <v/>
      </c>
      <c r="T39" s="399">
        <f>Tabel26404139[[#This Row],[Praktisch terugwinbaar volume m³]]*Tabel26404139[[#This Row],[Verkoopprijs per m³]]</f>
        <v/>
      </c>
      <c r="U39" s="332">
        <f>IF(OR($L39="Handmatig beoordelen",$L39="",$L39="Totaal",$I39=""),"Handmatig",IF($I39&gt;=50%,"Ja","Nee"))</f>
        <v/>
      </c>
      <c r="V39" s="287">
        <f>IF(OR($L39="Handmatig beoordelen",$L39="",$L39="Totaal",$Q39=""),"Handmatig",IF(OR($Q39="Hergebruik",$Q39="Recycling",$Q39="Hergebruik en recycling",$Q39="Hergebruik en recycling gelijk"),"Ja","Nee"))</f>
        <v/>
      </c>
      <c r="W39" s="287">
        <f>IF(OR($L39="Handmatig beoordelen",$L39="",$L39="Totaal"),"Handmatig",IF($T39&gt;0,"Ja","Nee"))</f>
        <v/>
      </c>
      <c r="X39" s="333">
        <f>IF(OR($U39="Handmatig",$V39="Handmatig",$W39="Handmatig"),"Handmatig beoordelen",IF(COUNTIF($U39:$W39,"Ja")&gt;=2,"Interessant",IF(COUNTIF($U39:$W39,"Ja")=1,"Eigen beoordeling","Niet interessant")))</f>
        <v/>
      </c>
      <c r="Y39" s="301" t="n"/>
      <c r="Z39" s="301" t="n"/>
      <c r="AA39" s="301" t="n"/>
      <c r="AB39" s="301" t="n"/>
      <c r="AC39" s="301" t="n"/>
      <c r="AD39" s="301" t="n"/>
      <c r="AE39" s="301" t="n"/>
      <c r="AF39" s="301" t="n"/>
      <c r="AG39" s="301" t="n"/>
      <c r="AH39" s="301" t="n"/>
      <c r="AI39" s="301" t="n"/>
      <c r="AJ39" s="301" t="n"/>
      <c r="AK39" s="301" t="n"/>
      <c r="AL39" s="301" t="n"/>
    </row>
    <row r="40">
      <c r="A40" s="337" t="inlineStr">
        <is>
          <t>Aluminium</t>
        </is>
      </c>
      <c r="B40" s="285" t="inlineStr">
        <is>
          <t>Plafonds</t>
        </is>
      </c>
      <c r="C40" s="275">
        <f>'Aluminium-data'!B3</f>
        <v/>
      </c>
      <c r="D40" s="277" t="n">
        <v>2</v>
      </c>
      <c r="E40" s="276" t="n">
        <v>20</v>
      </c>
      <c r="F40" s="278" t="n">
        <v>1</v>
      </c>
      <c r="G40" s="278" t="n">
        <v>2</v>
      </c>
      <c r="H40" s="278" t="n">
        <v>4</v>
      </c>
      <c r="I40" s="288">
        <f>IFERROR(ROUND(AVERAGE(Tabel26404139[[#This Row],[Demonteerbaarheid]],Tabel26404139[[#This Row],[Materiaalconditie ]],Tabel26404139[[#This Row],[Marktpotentie ]])/5,2),0)</f>
        <v/>
      </c>
      <c r="J40" s="287">
        <f>IF(Tabel26404139[[#This Row],[PRR]]="","Handmatig beoordelen",IF(Tabel26404139[[#This Row],[PRR]]&gt;=0.7,"Hergebruik &gt; recycling",IF(Tabel26404139[[#This Row],[PRR]]&gt;=0.25,"Recycling","Handmatig beoordelen")))</f>
        <v/>
      </c>
      <c r="K40" s="287">
        <f>IF(Tabel26404139[[#This Row],[Routeadvies]]="Hergebruik","Niet standaard toegepast",IF(Tabel26404139[[#This Row],[Routeadvies]]="Hergebruik &gt; recycling","&gt;= 0,7",IF(Tabel26404139[[#This Row],[Routeadvies]]="Recycling","&gt;= 0,25 en &lt; 0,7",IF(Tabel26404139[[#This Row],[Routeadvies]]="Handmatig beoordelen","&lt; 0,25 of geen score",""))))</f>
        <v/>
      </c>
      <c r="L40" s="286">
        <f>IF($B40="Totaal","Totaal",IF(OR($B40="Ramen",$B40="Deuren",$B40="Kozijnen",$B40="Vliesgevels",$B40="Gevelsystemen",$B40="Zonwering",$B40="Trappen"),"Bijzonder aluminium",IF($G40="","Handmatig beoordelen",IF($G40&gt;=4,"A-aluminium",IF($G40&gt;=3,"B-aluminium",IF($G40&gt;0,"C-aluminium","Handmatig beoordelen"))))))</f>
        <v/>
      </c>
      <c r="M40" s="286">
        <f>IFERROR(Tabel26404139[[#This Row],[BIM-volume m³]]*Aluminium!$M$3+Tabel26404139[[#This Row],[BIM-volume m³]]*Tabel26404139[[#This Row],[Transport Impact]]*IF(Tabel26404139[[#This Row],[Transportafstand (km)]]="",0,Tabel26404139[[#This Row],[Transportafstand (km)]]),0)</f>
        <v/>
      </c>
      <c r="N40" s="286">
        <f>IFERROR(Tabel26404139[[#This Row],[BIM-volume m³]]*Aluminium!$N$3+Tabel26404139[[#This Row],[BIM-volume m³]]*Tabel26404139[[#This Row],[Transport Impact]]*IF(Tabel26404139[[#This Row],[Transportafstand (km)]]="",0,Tabel26404139[[#This Row],[Transportafstand (km)]]),0)</f>
        <v/>
      </c>
      <c r="O40" s="286">
        <f>IFERROR(Tabel26404139[[#This Row],[BIM-volume m³]]*Aluminium!$O$3+Tabel26404139[[#This Row],[BIM-volume m³]]*Tabel26404139[[#This Row],[Transport Impact]]*IF(Tabel26404139[[#This Row],[Transportafstand (km)]]="",0,Tabel26404139[[#This Row],[Transportafstand (km)]]),0)</f>
        <v/>
      </c>
      <c r="P40" s="290">
        <f>IF($B47="Totaal",SUM($O$4:$O$12),IFERROR(MAX(0,$M40-MIN($N40,$O40)),0))</f>
        <v/>
      </c>
      <c r="Q40" s="291">
        <f>IF(OR($M40="",$M40=0),"Geen beoordeling",IF(AND($N40=0,$O40=0),"Geen beoordeling",IF($N40&lt;$O40,"Hergebruik",IF($O40&lt;$N40,"Recycling","Hergebruik en recycling gelijk"))))</f>
        <v/>
      </c>
      <c r="R40" s="286">
        <f>IFERROR(Tabel26404139[[#This Row],[BIM-volume m³]]*Tabel26404139[[#This Row],[PRR]],0)</f>
        <v/>
      </c>
      <c r="S40" s="393">
        <f>IFERROR(VLOOKUP(Tabel26404139[[#This Row],[Klasse]],Aluminium!$A$11:$D$14,4,FALSE),0)</f>
        <v/>
      </c>
      <c r="T40" s="399">
        <f>Tabel26404139[[#This Row],[Praktisch terugwinbaar volume m³]]*Tabel26404139[[#This Row],[Verkoopprijs per m³]]</f>
        <v/>
      </c>
      <c r="U40" s="332">
        <f>IF(OR($L40="Handmatig beoordelen",$L40="",$L40="Totaal",$I40=""),"Handmatig",IF($I40&gt;=50%,"Ja","Nee"))</f>
        <v/>
      </c>
      <c r="V40" s="287">
        <f>IF(OR($L40="Handmatig beoordelen",$L40="",$L40="Totaal",$Q40=""),"Handmatig",IF(OR($Q40="Hergebruik",$Q40="Recycling",$Q40="Hergebruik en recycling",$Q40="Hergebruik en recycling gelijk"),"Ja","Nee"))</f>
        <v/>
      </c>
      <c r="W40" s="287">
        <f>IF(OR($L40="Handmatig beoordelen",$L40="",$L40="Totaal"),"Handmatig",IF($T40&gt;0,"Ja","Nee"))</f>
        <v/>
      </c>
      <c r="X40" s="333">
        <f>IF(OR($U40="Handmatig",$V40="Handmatig",$W40="Handmatig"),"Handmatig beoordelen",IF(COUNTIF($U40:$W40,"Ja")&gt;=2,"Interessant",IF(COUNTIF($U40:$W40,"Ja")=1,"Eigen beoordeling","Niet interessant")))</f>
        <v/>
      </c>
      <c r="Y40" s="301" t="n"/>
      <c r="Z40" s="301" t="n"/>
      <c r="AA40" s="301" t="n"/>
      <c r="AB40" s="301" t="n"/>
      <c r="AC40" s="301" t="n"/>
      <c r="AD40" s="301" t="n"/>
      <c r="AE40" s="301" t="n"/>
      <c r="AF40" s="301" t="n"/>
      <c r="AG40" s="301" t="n"/>
      <c r="AH40" s="301" t="n"/>
      <c r="AI40" s="301" t="n"/>
      <c r="AJ40" s="301" t="n"/>
      <c r="AK40" s="301" t="n"/>
      <c r="AL40" s="301" t="n"/>
    </row>
    <row r="41">
      <c r="A41" s="337" t="inlineStr">
        <is>
          <t>Aluminium</t>
        </is>
      </c>
      <c r="B41" s="285" t="inlineStr">
        <is>
          <t>Kolommen</t>
        </is>
      </c>
      <c r="C41" s="275">
        <f>'Aluminium-data'!B4</f>
        <v/>
      </c>
      <c r="D41" s="277" t="n">
        <v>2</v>
      </c>
      <c r="E41" s="276" t="n">
        <v>20</v>
      </c>
      <c r="F41" s="279" t="n">
        <v>1</v>
      </c>
      <c r="G41" s="279" t="n">
        <v>4</v>
      </c>
      <c r="H41" s="279" t="n">
        <v>3</v>
      </c>
      <c r="I41" s="288">
        <f>IFERROR(ROUND(AVERAGE(Tabel26404139[[#This Row],[Demonteerbaarheid]],Tabel26404139[[#This Row],[Materiaalconditie ]],Tabel26404139[[#This Row],[Marktpotentie ]])/5,2),0)</f>
        <v/>
      </c>
      <c r="J41" s="287">
        <f>IF(Tabel26404139[[#This Row],[PRR]]="","Handmatig beoordelen",IF(Tabel26404139[[#This Row],[PRR]]&gt;=0.7,"Hergebruik &gt; recycling",IF(Tabel26404139[[#This Row],[PRR]]&gt;=0.25,"Recycling","Handmatig beoordelen")))</f>
        <v/>
      </c>
      <c r="K41" s="287">
        <f>IF(Tabel26404139[[#This Row],[Routeadvies]]="Hergebruik","Niet standaard toegepast",IF(Tabel26404139[[#This Row],[Routeadvies]]="Hergebruik &gt; recycling","&gt;= 0,7",IF(Tabel26404139[[#This Row],[Routeadvies]]="Recycling","&gt;= 0,25 en &lt; 0,7",IF(Tabel26404139[[#This Row],[Routeadvies]]="Handmatig beoordelen","&lt; 0,25 of geen score",""))))</f>
        <v/>
      </c>
      <c r="L41" s="286">
        <f>IF($B41="Totaal","Totaal",IF(OR($B41="Ramen",$B41="Deuren",$B41="Kozijnen",$B41="Vliesgevels",$B41="Gevelsystemen",$B41="Zonwering",$B41="Trappen"),"Bijzonder aluminium",IF($G41="","Handmatig beoordelen",IF($G41&gt;=4,"A-aluminium",IF($G41&gt;=3,"B-aluminium",IF($G41&gt;0,"C-aluminium","Handmatig beoordelen"))))))</f>
        <v/>
      </c>
      <c r="M41" s="286">
        <f>IFERROR(Tabel26404139[[#This Row],[BIM-volume m³]]*Aluminium!$M$3+Tabel26404139[[#This Row],[BIM-volume m³]]*Tabel26404139[[#This Row],[Transport Impact]]*IF(Tabel26404139[[#This Row],[Transportafstand (km)]]="",0,Tabel26404139[[#This Row],[Transportafstand (km)]]),0)</f>
        <v/>
      </c>
      <c r="N41" s="286">
        <f>IFERROR(Tabel26404139[[#This Row],[BIM-volume m³]]*Aluminium!$N$3+Tabel26404139[[#This Row],[BIM-volume m³]]*Tabel26404139[[#This Row],[Transport Impact]]*IF(Tabel26404139[[#This Row],[Transportafstand (km)]]="",0,Tabel26404139[[#This Row],[Transportafstand (km)]]),0)</f>
        <v/>
      </c>
      <c r="O41" s="286">
        <f>IFERROR(Tabel26404139[[#This Row],[BIM-volume m³]]*Aluminium!$O$3+Tabel26404139[[#This Row],[BIM-volume m³]]*Tabel26404139[[#This Row],[Transport Impact]]*IF(Tabel26404139[[#This Row],[Transportafstand (km)]]="",0,Tabel26404139[[#This Row],[Transportafstand (km)]]),0)</f>
        <v/>
      </c>
      <c r="P41" s="290">
        <f>IF($B48="Totaal",SUM($O$4:$O$12),IFERROR(MAX(0,$M41-MIN($N41,$O41)),0))</f>
        <v/>
      </c>
      <c r="Q41" s="291">
        <f>IF(OR($M41="",$M41=0),"Geen beoordeling",IF(AND($N41=0,$O41=0),"Geen beoordeling",IF($N41&lt;$O41,"Hergebruik",IF($O41&lt;$N41,"Recycling","Hergebruik en recycling gelijk"))))</f>
        <v/>
      </c>
      <c r="R41" s="286">
        <f>IFERROR(Tabel26404139[[#This Row],[BIM-volume m³]]*Tabel26404139[[#This Row],[PRR]],0)</f>
        <v/>
      </c>
      <c r="S41" s="391">
        <f>IFERROR(VLOOKUP(Tabel26404139[[#This Row],[Klasse]],Aluminium!$A$11:$D$14,4,FALSE),0)</f>
        <v/>
      </c>
      <c r="T41" s="399">
        <f>Tabel26404139[[#This Row],[Praktisch terugwinbaar volume m³]]*Tabel26404139[[#This Row],[Verkoopprijs per m³]]</f>
        <v/>
      </c>
      <c r="U41" s="332">
        <f>IF(OR($L41="Handmatig beoordelen",$L41="",$L41="Totaal",$I41=""),"Handmatig",IF($I41&gt;=50%,"Ja","Nee"))</f>
        <v/>
      </c>
      <c r="V41" s="287">
        <f>IF(OR($L41="Handmatig beoordelen",$L41="",$L41="Totaal",$Q41=""),"Handmatig",IF(OR($Q41="Hergebruik",$Q41="Recycling",$Q41="Hergebruik en recycling",$Q41="Hergebruik en recycling gelijk"),"Ja","Nee"))</f>
        <v/>
      </c>
      <c r="W41" s="287">
        <f>IF(OR($L41="Handmatig beoordelen",$L41="",$L41="Totaal"),"Handmatig",IF($T41&gt;0,"Ja","Nee"))</f>
        <v/>
      </c>
      <c r="X41" s="333">
        <f>IF(OR($U41="Handmatig",$V41="Handmatig",$W41="Handmatig"),"Handmatig beoordelen",IF(COUNTIF($U41:$W41,"Ja")&gt;=2,"Interessant",IF(COUNTIF($U41:$W41,"Ja")=1,"Eigen beoordeling","Niet interessant")))</f>
        <v/>
      </c>
      <c r="Y41" s="301" t="n"/>
      <c r="Z41" s="301" t="n"/>
      <c r="AA41" s="301" t="n"/>
      <c r="AB41" s="301" t="n"/>
      <c r="AC41" s="301" t="n"/>
      <c r="AD41" s="301" t="n"/>
      <c r="AE41" s="301" t="n"/>
      <c r="AF41" s="301" t="n"/>
      <c r="AG41" s="301" t="n"/>
      <c r="AH41" s="301" t="n"/>
      <c r="AI41" s="301" t="n"/>
      <c r="AJ41" s="301" t="n"/>
      <c r="AK41" s="301" t="n"/>
      <c r="AL41" s="301" t="n"/>
    </row>
    <row r="42">
      <c r="A42" s="337" t="inlineStr">
        <is>
          <t>Aluminium</t>
        </is>
      </c>
      <c r="B42" s="285" t="inlineStr">
        <is>
          <t>Gevelpanelen</t>
        </is>
      </c>
      <c r="C42" s="275">
        <f>'Aluminium-data'!B5</f>
        <v/>
      </c>
      <c r="D42" s="277" t="n">
        <v>2</v>
      </c>
      <c r="E42" s="276" t="n">
        <v>20</v>
      </c>
      <c r="F42" s="279" t="n">
        <v>5</v>
      </c>
      <c r="G42" s="279" t="n">
        <v>4</v>
      </c>
      <c r="H42" s="279" t="n">
        <v>4</v>
      </c>
      <c r="I42" s="288">
        <f>IFERROR(ROUND(AVERAGE(Tabel26404139[[#This Row],[Demonteerbaarheid]],Tabel26404139[[#This Row],[Materiaalconditie ]],Tabel26404139[[#This Row],[Marktpotentie ]])/5,2),0)</f>
        <v/>
      </c>
      <c r="J42" s="287">
        <f>IF(Tabel26404139[[#This Row],[PRR]]="","Handmatig beoordelen",IF(Tabel26404139[[#This Row],[PRR]]&gt;=0.7,"Hergebruik &gt; recycling",IF(Tabel26404139[[#This Row],[PRR]]&gt;=0.25,"Recycling","Handmatig beoordelen")))</f>
        <v/>
      </c>
      <c r="K42" s="287">
        <f>IF(Tabel26404139[[#This Row],[Routeadvies]]="Hergebruik","Niet standaard toegepast",IF(Tabel26404139[[#This Row],[Routeadvies]]="Hergebruik &gt; recycling","&gt;= 0,7",IF(Tabel26404139[[#This Row],[Routeadvies]]="Recycling","&gt;= 0,25 en &lt; 0,7",IF(Tabel26404139[[#This Row],[Routeadvies]]="Handmatig beoordelen","&lt; 0,25 of geen score",""))))</f>
        <v/>
      </c>
      <c r="L42" s="286">
        <f>IF($B42="Totaal","Totaal",IF(OR($B42="Ramen",$B42="Deuren",$B42="Kozijnen",$B42="Vliesgevels",$B42="Gevelsystemen",$B42="Zonwering",$B42="Trappen"),"Bijzonder aluminium",IF($G42="","Handmatig beoordelen",IF($G42&gt;=4,"A-aluminium",IF($G42&gt;=3,"B-aluminium",IF($G42&gt;0,"C-aluminium","Handmatig beoordelen"))))))</f>
        <v/>
      </c>
      <c r="M42" s="286">
        <f>IFERROR(Tabel26404139[[#This Row],[BIM-volume m³]]*Aluminium!$M$3+Tabel26404139[[#This Row],[BIM-volume m³]]*Tabel26404139[[#This Row],[Transport Impact]]*IF(Tabel26404139[[#This Row],[Transportafstand (km)]]="",0,Tabel26404139[[#This Row],[Transportafstand (km)]]),0)</f>
        <v/>
      </c>
      <c r="N42" s="286">
        <f>IFERROR(Tabel26404139[[#This Row],[BIM-volume m³]]*Aluminium!$N$3+Tabel26404139[[#This Row],[BIM-volume m³]]*Tabel26404139[[#This Row],[Transport Impact]]*IF(Tabel26404139[[#This Row],[Transportafstand (km)]]="",0,Tabel26404139[[#This Row],[Transportafstand (km)]]),0)</f>
        <v/>
      </c>
      <c r="O42" s="286">
        <f>IFERROR(Tabel26404139[[#This Row],[BIM-volume m³]]*Aluminium!$O$3+Tabel26404139[[#This Row],[BIM-volume m³]]*Tabel26404139[[#This Row],[Transport Impact]]*IF(Tabel26404139[[#This Row],[Transportafstand (km)]]="",0,Tabel26404139[[#This Row],[Transportafstand (km)]]),0)</f>
        <v/>
      </c>
      <c r="P42" s="290">
        <f>IF($B49="Totaal",SUM($O$4:$O$12),IFERROR(MAX(0,$M42-MIN($N42,$O42)),0))</f>
        <v/>
      </c>
      <c r="Q42" s="291">
        <f>IF(OR($M42="",$M42=0),"Geen beoordeling",IF(AND($N42=0,$O42=0),"Geen beoordeling",IF($N42&lt;$O42,"Hergebruik",IF($O42&lt;$N42,"Recycling","Hergebruik en recycling gelijk"))))</f>
        <v/>
      </c>
      <c r="R42" s="286">
        <f>IFERROR(Tabel26404139[[#This Row],[BIM-volume m³]]*Tabel26404139[[#This Row],[PRR]],0)</f>
        <v/>
      </c>
      <c r="S42" s="391">
        <f>IFERROR(VLOOKUP(Tabel26404139[[#This Row],[Klasse]],Aluminium!$A$11:$D$14,4,FALSE),0)</f>
        <v/>
      </c>
      <c r="T42" s="399">
        <f>Tabel26404139[[#This Row],[Praktisch terugwinbaar volume m³]]*Tabel26404139[[#This Row],[Verkoopprijs per m³]]</f>
        <v/>
      </c>
      <c r="U42" s="332">
        <f>IF(OR($L42="Handmatig beoordelen",$L42="",$L42="Totaal",$I42=""),"Handmatig",IF($I42&gt;=50%,"Ja","Nee"))</f>
        <v/>
      </c>
      <c r="V42" s="287">
        <f>IF(OR($L42="Handmatig beoordelen",$L42="",$L42="Totaal",$Q42=""),"Handmatig",IF(OR($Q42="Hergebruik",$Q42="Recycling",$Q42="Hergebruik en recycling",$Q42="Hergebruik en recycling gelijk"),"Ja","Nee"))</f>
        <v/>
      </c>
      <c r="W42" s="287">
        <f>IF(OR($L42="Handmatig beoordelen",$L42="",$L42="Totaal"),"Handmatig",IF($T42&gt;0,"Ja","Nee"))</f>
        <v/>
      </c>
      <c r="X42" s="333">
        <f>IF(OR($U42="Handmatig",$V42="Handmatig",$W42="Handmatig"),"Handmatig beoordelen",IF(COUNTIF($U42:$W42,"Ja")&gt;=2,"Interessant",IF(COUNTIF($U42:$W42,"Ja")=1,"Eigen beoordeling","Niet interessant")))</f>
        <v/>
      </c>
      <c r="Y42" s="301" t="n"/>
      <c r="Z42" s="301" t="n"/>
      <c r="AA42" s="301" t="n"/>
      <c r="AB42" s="301" t="n"/>
      <c r="AC42" s="301" t="n"/>
      <c r="AD42" s="301" t="n"/>
      <c r="AE42" s="301" t="n"/>
      <c r="AF42" s="301" t="n"/>
      <c r="AG42" s="301" t="n"/>
      <c r="AH42" s="301" t="n"/>
      <c r="AI42" s="301" t="n"/>
      <c r="AJ42" s="301" t="n"/>
      <c r="AK42" s="301" t="n"/>
      <c r="AL42" s="301" t="n"/>
    </row>
    <row r="43">
      <c r="A43" s="337" t="inlineStr">
        <is>
          <t>Aluminium</t>
        </is>
      </c>
      <c r="B43" s="285" t="inlineStr">
        <is>
          <t>Deuren</t>
        </is>
      </c>
      <c r="C43" s="275">
        <f>'Aluminium-data'!B6</f>
        <v/>
      </c>
      <c r="D43" s="277" t="n">
        <v>2</v>
      </c>
      <c r="E43" s="276" t="n">
        <v>20</v>
      </c>
      <c r="F43" s="279" t="n">
        <v>5</v>
      </c>
      <c r="G43" s="279" t="n">
        <v>4</v>
      </c>
      <c r="H43" s="279" t="n">
        <v>4</v>
      </c>
      <c r="I43" s="288">
        <f>IFERROR(ROUND(AVERAGE(Tabel26404139[[#This Row],[Demonteerbaarheid]],Tabel26404139[[#This Row],[Materiaalconditie ]],Tabel26404139[[#This Row],[Marktpotentie ]])/5,2),0)</f>
        <v/>
      </c>
      <c r="J43" s="287">
        <f>IF(Tabel26404139[[#This Row],[PRR]]="","Handmatig beoordelen",IF(Tabel26404139[[#This Row],[PRR]]&gt;=0.7,"Hergebruik &gt; recycling",IF(Tabel26404139[[#This Row],[PRR]]&gt;=0.25,"Recycling","Handmatig beoordelen")))</f>
        <v/>
      </c>
      <c r="K43" s="287">
        <f>IF(Tabel26404139[[#This Row],[Routeadvies]]="Hergebruik","Niet standaard toegepast",IF(Tabel26404139[[#This Row],[Routeadvies]]="Hergebruik &gt; recycling","&gt;= 0,7",IF(Tabel26404139[[#This Row],[Routeadvies]]="Recycling","&gt;= 0,25 en &lt; 0,7",IF(Tabel26404139[[#This Row],[Routeadvies]]="Handmatig beoordelen","&lt; 0,25 of geen score",""))))</f>
        <v/>
      </c>
      <c r="L43" s="286">
        <f>IF($B43="Totaal","Totaal",IF(OR($B43="Ramen",$B43="Deuren",$B43="Kozijnen",$B43="Vliesgevels",$B43="Gevelsystemen",$B43="Zonwering",$B43="Trappen"),"Bijzonder aluminium",IF($G43="","Handmatig beoordelen",IF($G43&gt;=4,"A-aluminium",IF($G43&gt;=3,"B-aluminium",IF($G43&gt;0,"C-aluminium","Handmatig beoordelen"))))))</f>
        <v/>
      </c>
      <c r="M43" s="286">
        <f>IFERROR(Tabel26404139[[#This Row],[BIM-volume m³]]*Aluminium!$M$3+Tabel26404139[[#This Row],[BIM-volume m³]]*Tabel26404139[[#This Row],[Transport Impact]]*IF(Tabel26404139[[#This Row],[Transportafstand (km)]]="",0,Tabel26404139[[#This Row],[Transportafstand (km)]]),0)</f>
        <v/>
      </c>
      <c r="N43" s="286">
        <f>IFERROR(Tabel26404139[[#This Row],[BIM-volume m³]]*Aluminium!$N$3+Tabel26404139[[#This Row],[BIM-volume m³]]*Tabel26404139[[#This Row],[Transport Impact]]*IF(Tabel26404139[[#This Row],[Transportafstand (km)]]="",0,Tabel26404139[[#This Row],[Transportafstand (km)]]),0)</f>
        <v/>
      </c>
      <c r="O43" s="286">
        <f>IFERROR(Tabel26404139[[#This Row],[BIM-volume m³]]*Aluminium!$O$3+Tabel26404139[[#This Row],[BIM-volume m³]]*Tabel26404139[[#This Row],[Transport Impact]]*IF(Tabel26404139[[#This Row],[Transportafstand (km)]]="",0,Tabel26404139[[#This Row],[Transportafstand (km)]]),0)</f>
        <v/>
      </c>
      <c r="P43" s="290">
        <f>IF($B50="Totaal",SUM($O$4:$O$12),IFERROR(MAX(0,$M43-MIN($N43,$O43)),0))</f>
        <v/>
      </c>
      <c r="Q43" s="291">
        <f>IF(OR($M43="",$M43=0),"Geen beoordeling",IF(AND($N43=0,$O43=0),"Geen beoordeling",IF($N43&lt;$O43,"Hergebruik",IF($O43&lt;$N43,"Recycling","Hergebruik en recycling gelijk"))))</f>
        <v/>
      </c>
      <c r="R43" s="286">
        <f>IFERROR(Tabel26404139[[#This Row],[BIM-volume m³]]*Tabel26404139[[#This Row],[PRR]],0)</f>
        <v/>
      </c>
      <c r="S43" s="391">
        <f>IFERROR(VLOOKUP(Tabel26404139[[#This Row],[Klasse]],Aluminium!$A$11:$D$14,4,FALSE),0)</f>
        <v/>
      </c>
      <c r="T43" s="399">
        <f>Tabel26404139[[#This Row],[Praktisch terugwinbaar volume m³]]*Tabel26404139[[#This Row],[Verkoopprijs per m³]]</f>
        <v/>
      </c>
      <c r="U43" s="332">
        <f>IF(OR($L43="Handmatig beoordelen",$L43="",$L43="Totaal",$I43=""),"Handmatig",IF($I43&gt;=50%,"Ja","Nee"))</f>
        <v/>
      </c>
      <c r="V43" s="287">
        <f>IF(OR($L43="Handmatig beoordelen",$L43="",$L43="Totaal",$Q43=""),"Handmatig",IF(OR($Q43="Hergebruik",$Q43="Recycling",$Q43="Hergebruik en recycling",$Q43="Hergebruik en recycling gelijk"),"Ja","Nee"))</f>
        <v/>
      </c>
      <c r="W43" s="287">
        <f>IF(OR($L43="Handmatig beoordelen",$L43="",$L43="Totaal"),"Handmatig",IF($T43&gt;0,"Ja","Nee"))</f>
        <v/>
      </c>
      <c r="X43" s="333">
        <f>IF(OR($U43="Handmatig",$V43="Handmatig",$W43="Handmatig"),"Handmatig beoordelen",IF(COUNTIF($U43:$W43,"Ja")&gt;=2,"Interessant",IF(COUNTIF($U43:$W43,"Ja")=1,"Eigen beoordeling","Niet interessant")))</f>
        <v/>
      </c>
      <c r="Y43" s="301" t="n"/>
      <c r="Z43" s="301" t="n"/>
      <c r="AA43" s="301" t="n"/>
      <c r="AB43" s="301" t="n"/>
      <c r="AC43" s="301" t="n"/>
      <c r="AD43" s="301" t="n"/>
      <c r="AE43" s="301" t="n"/>
      <c r="AF43" s="301" t="n"/>
      <c r="AG43" s="301" t="n"/>
      <c r="AH43" s="301" t="n"/>
      <c r="AI43" s="301" t="n"/>
      <c r="AJ43" s="301" t="n"/>
      <c r="AK43" s="301" t="n"/>
      <c r="AL43" s="301" t="n"/>
    </row>
    <row r="44">
      <c r="A44" s="337" t="inlineStr">
        <is>
          <t>Aluminium</t>
        </is>
      </c>
      <c r="B44" s="285" t="inlineStr">
        <is>
          <t>Vloeren</t>
        </is>
      </c>
      <c r="C44" s="275">
        <f>'Aluminium-data'!B7</f>
        <v/>
      </c>
      <c r="D44" s="277" t="n">
        <v>2</v>
      </c>
      <c r="E44" s="276" t="n">
        <v>20</v>
      </c>
      <c r="F44" s="279" t="n">
        <v>1</v>
      </c>
      <c r="G44" s="279" t="n">
        <v>3</v>
      </c>
      <c r="H44" s="279" t="n">
        <v>2</v>
      </c>
      <c r="I44" s="288">
        <f>IFERROR(ROUND(AVERAGE(Tabel26404139[[#This Row],[Demonteerbaarheid]],Tabel26404139[[#This Row],[Materiaalconditie ]],Tabel26404139[[#This Row],[Marktpotentie ]])/5,2),0)</f>
        <v/>
      </c>
      <c r="J44" s="287">
        <f>IF(Tabel26404139[[#This Row],[PRR]]="","Handmatig beoordelen",IF(Tabel26404139[[#This Row],[PRR]]&gt;=0.7,"Hergebruik &gt; recycling",IF(Tabel26404139[[#This Row],[PRR]]&gt;=0.25,"Recycling","Handmatig beoordelen")))</f>
        <v/>
      </c>
      <c r="K44" s="287">
        <f>IF(Tabel26404139[[#This Row],[Routeadvies]]="Hergebruik","Niet standaard toegepast",IF(Tabel26404139[[#This Row],[Routeadvies]]="Hergebruik &gt; recycling","&gt;= 0,7",IF(Tabel26404139[[#This Row],[Routeadvies]]="Recycling","&gt;= 0,25 en &lt; 0,7",IF(Tabel26404139[[#This Row],[Routeadvies]]="Handmatig beoordelen","&lt; 0,25 of geen score",""))))</f>
        <v/>
      </c>
      <c r="L44" s="286">
        <f>IF($B44="Totaal","Totaal",IF(OR($B44="Ramen",$B44="Deuren",$B44="Kozijnen",$B44="Vliesgevels",$B44="Gevelsystemen",$B44="Zonwering",$B44="Trappen"),"Bijzonder aluminium",IF($G44="","Handmatig beoordelen",IF($G44&gt;=4,"A-aluminium",IF($G44&gt;=3,"B-aluminium",IF($G44&gt;0,"C-aluminium","Handmatig beoordelen"))))))</f>
        <v/>
      </c>
      <c r="M44" s="286">
        <f>IFERROR(Tabel26404139[[#This Row],[BIM-volume m³]]*Aluminium!$M$3+Tabel26404139[[#This Row],[BIM-volume m³]]*Tabel26404139[[#This Row],[Transport Impact]]*IF(Tabel26404139[[#This Row],[Transportafstand (km)]]="",0,Tabel26404139[[#This Row],[Transportafstand (km)]]),0)</f>
        <v/>
      </c>
      <c r="N44" s="286">
        <f>IFERROR(Tabel26404139[[#This Row],[BIM-volume m³]]*Aluminium!$N$3+Tabel26404139[[#This Row],[BIM-volume m³]]*Tabel26404139[[#This Row],[Transport Impact]]*IF(Tabel26404139[[#This Row],[Transportafstand (km)]]="",0,Tabel26404139[[#This Row],[Transportafstand (km)]]),0)</f>
        <v/>
      </c>
      <c r="O44" s="286">
        <f>IFERROR(Tabel26404139[[#This Row],[BIM-volume m³]]*Aluminium!$O$3+Tabel26404139[[#This Row],[BIM-volume m³]]*Tabel26404139[[#This Row],[Transport Impact]]*IF(Tabel26404139[[#This Row],[Transportafstand (km)]]="",0,Tabel26404139[[#This Row],[Transportafstand (km)]]),0)</f>
        <v/>
      </c>
      <c r="P44" s="290">
        <f>IF($B51="Totaal",SUM($O$4:$O$12),IFERROR(MAX(0,$M44-MIN($N44,$O44)),0))</f>
        <v/>
      </c>
      <c r="Q44" s="291">
        <f>IF(OR($M44="",$M44=0),"Geen beoordeling",IF(AND($N44=0,$O44=0),"Geen beoordeling",IF($N44&lt;$O44,"Hergebruik",IF($O44&lt;$N44,"Recycling","Hergebruik en recycling gelijk"))))</f>
        <v/>
      </c>
      <c r="R44" s="286">
        <f>IFERROR(Tabel26404139[[#This Row],[BIM-volume m³]]*Tabel26404139[[#This Row],[PRR]],0)</f>
        <v/>
      </c>
      <c r="S44" s="391">
        <f>IFERROR(VLOOKUP(Tabel26404139[[#This Row],[Klasse]],Aluminium!$A$11:$D$14,4,FALSE),0)</f>
        <v/>
      </c>
      <c r="T44" s="399">
        <f>Tabel26404139[[#This Row],[Praktisch terugwinbaar volume m³]]*Tabel26404139[[#This Row],[Verkoopprijs per m³]]</f>
        <v/>
      </c>
      <c r="U44" s="332">
        <f>IF(OR($L44="Handmatig beoordelen",$L44="",$L44="Totaal",$I44=""),"Handmatig",IF($I44&gt;=50%,"Ja","Nee"))</f>
        <v/>
      </c>
      <c r="V44" s="287">
        <f>IF(OR($L44="Handmatig beoordelen",$L44="",$L44="Totaal",$Q44=""),"Handmatig",IF(OR($Q44="Hergebruik",$Q44="Recycling",$Q44="Hergebruik en recycling",$Q44="Hergebruik en recycling gelijk"),"Ja","Nee"))</f>
        <v/>
      </c>
      <c r="W44" s="287">
        <f>IF(OR($L44="Handmatig beoordelen",$L44="",$L44="Totaal"),"Handmatig",IF($T44&gt;0,"Ja","Nee"))</f>
        <v/>
      </c>
      <c r="X44" s="333">
        <f>IF(OR($U44="Handmatig",$V44="Handmatig",$W44="Handmatig"),"Handmatig beoordelen",IF(COUNTIF($U44:$W44,"Ja")&gt;=2,"Interessant",IF(COUNTIF($U44:$W44,"Ja")=1,"Eigen beoordeling","Niet interessant")))</f>
        <v/>
      </c>
      <c r="Y44" s="301" t="n"/>
      <c r="Z44" s="301" t="n"/>
      <c r="AA44" s="301" t="n"/>
      <c r="AB44" s="301" t="n"/>
      <c r="AC44" s="301" t="n"/>
      <c r="AD44" s="301" t="n"/>
      <c r="AE44" s="301" t="n"/>
      <c r="AF44" s="301" t="n"/>
      <c r="AG44" s="301" t="n"/>
      <c r="AH44" s="301" t="n"/>
      <c r="AI44" s="301" t="n"/>
      <c r="AJ44" s="301" t="n"/>
      <c r="AK44" s="301" t="n"/>
      <c r="AL44" s="301" t="n"/>
    </row>
    <row r="45">
      <c r="A45" s="337" t="inlineStr">
        <is>
          <t>Aluminium</t>
        </is>
      </c>
      <c r="B45" s="285" t="inlineStr">
        <is>
          <t>Daken</t>
        </is>
      </c>
      <c r="C45" s="275">
        <f>'Aluminium-data'!B8</f>
        <v/>
      </c>
      <c r="D45" s="277" t="n">
        <v>2</v>
      </c>
      <c r="E45" s="276" t="n">
        <v>20</v>
      </c>
      <c r="F45" s="279" t="n">
        <v>5</v>
      </c>
      <c r="G45" s="279" t="n">
        <v>4</v>
      </c>
      <c r="H45" s="279" t="n">
        <v>2</v>
      </c>
      <c r="I45" s="288">
        <f>IFERROR(ROUND(AVERAGE(Tabel26404139[[#This Row],[Demonteerbaarheid]],Tabel26404139[[#This Row],[Materiaalconditie ]],Tabel26404139[[#This Row],[Marktpotentie ]])/5,2),0)</f>
        <v/>
      </c>
      <c r="J45" s="287">
        <f>IF(Tabel26404139[[#This Row],[PRR]]="","Handmatig beoordelen",IF(Tabel26404139[[#This Row],[PRR]]&gt;=0.7,"Hergebruik &gt; recycling",IF(Tabel26404139[[#This Row],[PRR]]&gt;=0.25,"Recycling","Handmatig beoordelen")))</f>
        <v/>
      </c>
      <c r="K45" s="287">
        <f>IF(Tabel26404139[[#This Row],[Routeadvies]]="Hergebruik","Niet standaard toegepast",IF(Tabel26404139[[#This Row],[Routeadvies]]="Hergebruik &gt; recycling","&gt;= 0,7",IF(Tabel26404139[[#This Row],[Routeadvies]]="Recycling","&gt;= 0,25 en &lt; 0,7",IF(Tabel26404139[[#This Row],[Routeadvies]]="Handmatig beoordelen","&lt; 0,25 of geen score",""))))</f>
        <v/>
      </c>
      <c r="L45" s="286">
        <f>IF($B45="Totaal","Totaal",IF(OR($B45="Ramen",$B45="Deuren",$B45="Kozijnen",$B45="Vliesgevels",$B45="Gevelsystemen",$B45="Zonwering",$B45="Trappen"),"Bijzonder aluminium",IF($G45="","Handmatig beoordelen",IF($G45&gt;=4,"A-aluminium",IF($G45&gt;=3,"B-aluminium",IF($G45&gt;0,"C-aluminium","Handmatig beoordelen"))))))</f>
        <v/>
      </c>
      <c r="M45" s="286">
        <f>IFERROR(Tabel26404139[[#This Row],[BIM-volume m³]]*Aluminium!$M$3+Tabel26404139[[#This Row],[BIM-volume m³]]*Tabel26404139[[#This Row],[Transport Impact]]*IF(Tabel26404139[[#This Row],[Transportafstand (km)]]="",0,Tabel26404139[[#This Row],[Transportafstand (km)]]),0)</f>
        <v/>
      </c>
      <c r="N45" s="286">
        <f>IFERROR(Tabel26404139[[#This Row],[BIM-volume m³]]*Aluminium!$N$3+Tabel26404139[[#This Row],[BIM-volume m³]]*Tabel26404139[[#This Row],[Transport Impact]]*IF(Tabel26404139[[#This Row],[Transportafstand (km)]]="",0,Tabel26404139[[#This Row],[Transportafstand (km)]]),0)</f>
        <v/>
      </c>
      <c r="O45" s="286">
        <f>IFERROR(Tabel26404139[[#This Row],[BIM-volume m³]]*Aluminium!$O$3+Tabel26404139[[#This Row],[BIM-volume m³]]*Tabel26404139[[#This Row],[Transport Impact]]*IF(Tabel26404139[[#This Row],[Transportafstand (km)]]="",0,Tabel26404139[[#This Row],[Transportafstand (km)]]),0)</f>
        <v/>
      </c>
      <c r="P45" s="290">
        <f>IF($B52="Totaal",SUM($O$4:$O$12),IFERROR(MAX(0,$M45-MIN($N45,$O45)),0))</f>
        <v/>
      </c>
      <c r="Q45" s="291">
        <f>IF(OR($M45="",$M45=0),"Geen beoordeling",IF(AND($N45=0,$O45=0),"Geen beoordeling",IF($N45&lt;$O45,"Hergebruik",IF($O45&lt;$N45,"Recycling","Hergebruik en recycling gelijk"))))</f>
        <v/>
      </c>
      <c r="R45" s="286">
        <f>IFERROR(Tabel26404139[[#This Row],[BIM-volume m³]]*Tabel26404139[[#This Row],[PRR]],0)</f>
        <v/>
      </c>
      <c r="S45" s="391">
        <f>IFERROR(VLOOKUP(Tabel26404139[[#This Row],[Klasse]],Aluminium!$A$11:$D$14,4,FALSE),0)</f>
        <v/>
      </c>
      <c r="T45" s="399">
        <f>Tabel26404139[[#This Row],[Praktisch terugwinbaar volume m³]]*Tabel26404139[[#This Row],[Verkoopprijs per m³]]</f>
        <v/>
      </c>
      <c r="U45" s="332">
        <f>IF(OR($L45="Handmatig beoordelen",$L45="",$L45="Totaal",$I45=""),"Handmatig",IF($I45&gt;=50%,"Ja","Nee"))</f>
        <v/>
      </c>
      <c r="V45" s="287">
        <f>IF(OR($L45="Handmatig beoordelen",$L45="",$L45="Totaal",$Q45=""),"Handmatig",IF(OR($Q45="Hergebruik",$Q45="Recycling",$Q45="Hergebruik en recycling",$Q45="Hergebruik en recycling gelijk"),"Ja","Nee"))</f>
        <v/>
      </c>
      <c r="W45" s="287">
        <f>IF(OR($L45="Handmatig beoordelen",$L45="",$L45="Totaal"),"Handmatig",IF($T45&gt;0,"Ja","Nee"))</f>
        <v/>
      </c>
      <c r="X45" s="333">
        <f>IF(OR($U45="Handmatig",$V45="Handmatig",$W45="Handmatig"),"Handmatig beoordelen",IF(COUNTIF($U45:$W45,"Ja")&gt;=2,"Interessant",IF(COUNTIF($U45:$W45,"Ja")=1,"Eigen beoordeling","Niet interessant")))</f>
        <v/>
      </c>
      <c r="Y45" s="301" t="n"/>
      <c r="Z45" s="301" t="n"/>
      <c r="AA45" s="301" t="n"/>
      <c r="AB45" s="301" t="n"/>
      <c r="AC45" s="301" t="n"/>
      <c r="AD45" s="301" t="n"/>
      <c r="AE45" s="301" t="n"/>
      <c r="AF45" s="301" t="n"/>
      <c r="AG45" s="301" t="n"/>
      <c r="AH45" s="301" t="n"/>
      <c r="AI45" s="301" t="n"/>
      <c r="AJ45" s="301" t="n"/>
      <c r="AK45" s="301" t="n"/>
      <c r="AL45" s="301" t="n"/>
    </row>
    <row r="46">
      <c r="A46" s="337" t="inlineStr">
        <is>
          <t>Aluminium</t>
        </is>
      </c>
      <c r="B46" s="285" t="inlineStr">
        <is>
          <t>Wanden</t>
        </is>
      </c>
      <c r="C46" s="275">
        <f>'Aluminium-data'!B9</f>
        <v/>
      </c>
      <c r="D46" s="277" t="n">
        <v>2</v>
      </c>
      <c r="E46" s="276" t="n">
        <v>20</v>
      </c>
      <c r="F46" s="279" t="n">
        <v>1</v>
      </c>
      <c r="G46" s="279" t="n">
        <v>3</v>
      </c>
      <c r="H46" s="279" t="n">
        <v>5</v>
      </c>
      <c r="I46" s="288">
        <f>IFERROR(ROUND(AVERAGE(Tabel26404139[[#This Row],[Demonteerbaarheid]],Tabel26404139[[#This Row],[Materiaalconditie ]],Tabel26404139[[#This Row],[Marktpotentie ]])/5,2),0)</f>
        <v/>
      </c>
      <c r="J46" s="287">
        <f>IF(Tabel26404139[[#This Row],[PRR]]="","Handmatig beoordelen",IF(Tabel26404139[[#This Row],[PRR]]&gt;=0.7,"Hergebruik &gt; recycling",IF(Tabel26404139[[#This Row],[PRR]]&gt;=0.25,"Recycling","Handmatig beoordelen")))</f>
        <v/>
      </c>
      <c r="K46" s="287">
        <f>IF(Tabel26404139[[#This Row],[Routeadvies]]="Hergebruik","Niet standaard toegepast",IF(Tabel26404139[[#This Row],[Routeadvies]]="Hergebruik &gt; recycling","&gt;= 0,7",IF(Tabel26404139[[#This Row],[Routeadvies]]="Recycling","&gt;= 0,25 en &lt; 0,7",IF(Tabel26404139[[#This Row],[Routeadvies]]="Handmatig beoordelen","&lt; 0,25 of geen score",""))))</f>
        <v/>
      </c>
      <c r="L46" s="286">
        <f>IF($B46="Totaal","Totaal",IF(OR($B46="Ramen",$B46="Deuren",$B46="Kozijnen",$B46="Vliesgevels",$B46="Gevelsystemen",$B46="Zonwering",$B46="Trappen"),"Bijzonder aluminium",IF($G46="","Handmatig beoordelen",IF($G46&gt;=4,"A-aluminium",IF($G46&gt;=3,"B-aluminium",IF($G46&gt;0,"C-aluminium","Handmatig beoordelen"))))))</f>
        <v/>
      </c>
      <c r="M46" s="286">
        <f>IFERROR(Tabel26404139[[#This Row],[BIM-volume m³]]*Aluminium!$M$3+Tabel26404139[[#This Row],[BIM-volume m³]]*Tabel26404139[[#This Row],[Transport Impact]]*IF(Tabel26404139[[#This Row],[Transportafstand (km)]]="",0,Tabel26404139[[#This Row],[Transportafstand (km)]]),0)</f>
        <v/>
      </c>
      <c r="N46" s="286">
        <f>IFERROR(Tabel26404139[[#This Row],[BIM-volume m³]]*Aluminium!$N$3+Tabel26404139[[#This Row],[BIM-volume m³]]*Tabel26404139[[#This Row],[Transport Impact]]*IF(Tabel26404139[[#This Row],[Transportafstand (km)]]="",0,Tabel26404139[[#This Row],[Transportafstand (km)]]),0)</f>
        <v/>
      </c>
      <c r="O46" s="286">
        <f>IFERROR(Tabel26404139[[#This Row],[BIM-volume m³]]*Aluminium!$O$3+Tabel26404139[[#This Row],[BIM-volume m³]]*Tabel26404139[[#This Row],[Transport Impact]]*IF(Tabel26404139[[#This Row],[Transportafstand (km)]]="",0,Tabel26404139[[#This Row],[Transportafstand (km)]]),0)</f>
        <v/>
      </c>
      <c r="P46" s="290">
        <f>IF($B53="Totaal",SUM($O$4:$O$12),IFERROR(MAX(0,$M46-MIN($N46,$O46)),0))</f>
        <v/>
      </c>
      <c r="Q46" s="291">
        <f>IF(OR($M46="",$M46=0),"Geen beoordeling",IF(AND($N46=0,$O46=0),"Geen beoordeling",IF($N46&lt;$O46,"Hergebruik",IF($O46&lt;$N46,"Recycling","Hergebruik en recycling gelijk"))))</f>
        <v/>
      </c>
      <c r="R46" s="286">
        <f>IFERROR(Tabel26404139[[#This Row],[BIM-volume m³]]*Tabel26404139[[#This Row],[PRR]],0)</f>
        <v/>
      </c>
      <c r="S46" s="391">
        <f>IFERROR(VLOOKUP(Tabel26404139[[#This Row],[Klasse]],Aluminium!$A$11:$D$14,4,FALSE),0)</f>
        <v/>
      </c>
      <c r="T46" s="399">
        <f>Tabel26404139[[#This Row],[Praktisch terugwinbaar volume m³]]*Tabel26404139[[#This Row],[Verkoopprijs per m³]]</f>
        <v/>
      </c>
      <c r="U46" s="332">
        <f>IF(OR($L46="Handmatig beoordelen",$L46="",$L46="Totaal",$I46=""),"Handmatig",IF($I46&gt;=50%,"Ja","Nee"))</f>
        <v/>
      </c>
      <c r="V46" s="287">
        <f>IF(OR($L46="Handmatig beoordelen",$L46="",$L46="Totaal",$Q46=""),"Handmatig",IF(OR($Q46="Hergebruik",$Q46="Recycling",$Q46="Hergebruik en recycling",$Q46="Hergebruik en recycling gelijk"),"Ja","Nee"))</f>
        <v/>
      </c>
      <c r="W46" s="287">
        <f>IF(OR($L46="Handmatig beoordelen",$L46="",$L46="Totaal"),"Handmatig",IF($T46&gt;0,"Ja","Nee"))</f>
        <v/>
      </c>
      <c r="X46" s="333">
        <f>IF(OR($U46="Handmatig",$V46="Handmatig",$W46="Handmatig"),"Handmatig beoordelen",IF(COUNTIF($U46:$W46,"Ja")&gt;=2,"Interessant",IF(COUNTIF($U46:$W46,"Ja")=1,"Eigen beoordeling","Niet interessant")))</f>
        <v/>
      </c>
      <c r="Y46" s="301" t="n"/>
      <c r="Z46" s="301" t="n"/>
      <c r="AA46" s="301" t="n"/>
      <c r="AB46" s="301" t="n"/>
      <c r="AC46" s="301" t="n"/>
      <c r="AD46" s="301" t="n"/>
      <c r="AE46" s="301" t="n"/>
      <c r="AF46" s="301" t="n"/>
      <c r="AG46" s="301" t="n"/>
      <c r="AH46" s="301" t="n"/>
      <c r="AI46" s="301" t="n"/>
      <c r="AJ46" s="301" t="n"/>
      <c r="AK46" s="301" t="n"/>
      <c r="AL46" s="301" t="n"/>
    </row>
    <row r="47">
      <c r="A47" s="337" t="inlineStr">
        <is>
          <t>Aluminium</t>
        </is>
      </c>
      <c r="B47" s="285" t="inlineStr">
        <is>
          <t>Ramen</t>
        </is>
      </c>
      <c r="C47" s="275">
        <f>'Aluminium-data'!B10</f>
        <v/>
      </c>
      <c r="D47" s="277" t="n">
        <v>2</v>
      </c>
      <c r="E47" s="276" t="n">
        <v>20</v>
      </c>
      <c r="F47" s="279" t="n">
        <v>5</v>
      </c>
      <c r="G47" s="279" t="n">
        <v>4</v>
      </c>
      <c r="H47" s="279" t="n">
        <v>3</v>
      </c>
      <c r="I47" s="288">
        <f>IFERROR(ROUND(AVERAGE(Tabel26404139[[#This Row],[Demonteerbaarheid]],Tabel26404139[[#This Row],[Materiaalconditie ]],Tabel26404139[[#This Row],[Marktpotentie ]])/5,2),0)</f>
        <v/>
      </c>
      <c r="J47" s="287">
        <f>IF(Tabel26404139[[#This Row],[PRR]]="","Handmatig beoordelen",IF(Tabel26404139[[#This Row],[PRR]]&gt;=0.7,"Hergebruik &gt; recycling",IF(Tabel26404139[[#This Row],[PRR]]&gt;=0.25,"Recycling","Handmatig beoordelen")))</f>
        <v/>
      </c>
      <c r="K47" s="287">
        <f>IF(Tabel26404139[[#This Row],[Routeadvies]]="Hergebruik","Niet standaard toegepast",IF(Tabel26404139[[#This Row],[Routeadvies]]="Hergebruik &gt; recycling","&gt;= 0,7",IF(Tabel26404139[[#This Row],[Routeadvies]]="Recycling","&gt;= 0,25 en &lt; 0,7",IF(Tabel26404139[[#This Row],[Routeadvies]]="Handmatig beoordelen","&lt; 0,25 of geen score",""))))</f>
        <v/>
      </c>
      <c r="L47" s="286">
        <f>IF($B47="Totaal","Totaal",IF(OR($B47="Ramen",$B47="Deuren",$B47="Kozijnen",$B47="Vliesgevels",$B47="Gevelsystemen",$B47="Zonwering",$B47="Trappen"),"Bijzonder aluminium",IF($G47="","Handmatig beoordelen",IF($G47&gt;=4,"A-aluminium",IF($G47&gt;=3,"B-aluminium",IF($G47&gt;0,"C-aluminium","Handmatig beoordelen"))))))</f>
        <v/>
      </c>
      <c r="M47" s="286">
        <f>IFERROR(Tabel26404139[[#This Row],[BIM-volume m³]]*Aluminium!$M$3+Tabel26404139[[#This Row],[BIM-volume m³]]*Tabel26404139[[#This Row],[Transport Impact]]*IF(Tabel26404139[[#This Row],[Transportafstand (km)]]="",0,Tabel26404139[[#This Row],[Transportafstand (km)]]),0)</f>
        <v/>
      </c>
      <c r="N47" s="286">
        <f>IFERROR(Tabel26404139[[#This Row],[BIM-volume m³]]*Aluminium!$N$3+Tabel26404139[[#This Row],[BIM-volume m³]]*Tabel26404139[[#This Row],[Transport Impact]]*IF(Tabel26404139[[#This Row],[Transportafstand (km)]]="",0,Tabel26404139[[#This Row],[Transportafstand (km)]]),0)</f>
        <v/>
      </c>
      <c r="O47" s="286">
        <f>IFERROR(Tabel26404139[[#This Row],[BIM-volume m³]]*Aluminium!$O$3+Tabel26404139[[#This Row],[BIM-volume m³]]*Tabel26404139[[#This Row],[Transport Impact]]*IF(Tabel26404139[[#This Row],[Transportafstand (km)]]="",0,Tabel26404139[[#This Row],[Transportafstand (km)]]),0)</f>
        <v/>
      </c>
      <c r="P47" s="290">
        <f>IF($B54="Totaal",SUM($O$4:$O$12),IFERROR(MAX(0,$M47-MIN($N47,$O47)),0))</f>
        <v/>
      </c>
      <c r="Q47" s="291">
        <f>IF(OR($M47="",$M47=0),"Geen beoordeling",IF(AND($N47=0,$O47=0),"Geen beoordeling",IF($N47&lt;$O47,"Hergebruik",IF($O47&lt;$N47,"Recycling","Hergebruik en recycling gelijk"))))</f>
        <v/>
      </c>
      <c r="R47" s="286">
        <f>IFERROR(Tabel26404139[[#This Row],[BIM-volume m³]]*Tabel26404139[[#This Row],[PRR]],0)</f>
        <v/>
      </c>
      <c r="S47" s="391">
        <f>IFERROR(VLOOKUP(Tabel26404139[[#This Row],[Klasse]],Aluminium!$A$11:$D$14,4,FALSE),0)</f>
        <v/>
      </c>
      <c r="T47" s="399">
        <f>Tabel26404139[[#This Row],[Praktisch terugwinbaar volume m³]]*Tabel26404139[[#This Row],[Verkoopprijs per m³]]</f>
        <v/>
      </c>
      <c r="U47" s="332">
        <f>IF(OR($L47="Handmatig beoordelen",$L47="",$L47="Totaal",$I47=""),"Handmatig",IF($I47&gt;=50%,"Ja","Nee"))</f>
        <v/>
      </c>
      <c r="V47" s="287">
        <f>IF(OR($L47="Handmatig beoordelen",$L47="",$L47="Totaal",$Q47=""),"Handmatig",IF(OR($Q47="Hergebruik",$Q47="Recycling",$Q47="Hergebruik en recycling",$Q47="Hergebruik en recycling gelijk"),"Ja","Nee"))</f>
        <v/>
      </c>
      <c r="W47" s="287">
        <f>IF(OR($L47="Handmatig beoordelen",$L47="",$L47="Totaal"),"Handmatig",IF($T47&gt;0,"Ja","Nee"))</f>
        <v/>
      </c>
      <c r="X47" s="333">
        <f>IF(OR($U47="Handmatig",$V47="Handmatig",$W47="Handmatig"),"Handmatig beoordelen",IF(COUNTIF($U47:$W47,"Ja")&gt;=2,"Interessant",IF(COUNTIF($U47:$W47,"Ja")=1,"Eigen beoordeling","Niet interessant")))</f>
        <v/>
      </c>
      <c r="Y47" s="301" t="n"/>
      <c r="Z47" s="301" t="n"/>
      <c r="AA47" s="301" t="n"/>
      <c r="AB47" s="301" t="n"/>
      <c r="AC47" s="301" t="n"/>
      <c r="AD47" s="301" t="n"/>
      <c r="AE47" s="301" t="n"/>
      <c r="AF47" s="301" t="n"/>
      <c r="AG47" s="301" t="n"/>
      <c r="AH47" s="301" t="n"/>
      <c r="AI47" s="301" t="n"/>
      <c r="AJ47" s="301" t="n"/>
      <c r="AK47" s="301" t="n"/>
      <c r="AL47" s="301" t="n"/>
    </row>
    <row r="48">
      <c r="A48" s="337" t="inlineStr">
        <is>
          <t>Aluminium</t>
        </is>
      </c>
      <c r="B48" s="340" t="inlineStr">
        <is>
          <t>Trappen</t>
        </is>
      </c>
      <c r="C48" s="275">
        <f>'Aluminium-data'!B11</f>
        <v/>
      </c>
      <c r="D48" s="277" t="n">
        <v>2</v>
      </c>
      <c r="E48" s="276" t="n">
        <v>20</v>
      </c>
      <c r="F48" s="281" t="n">
        <v>5</v>
      </c>
      <c r="G48" s="281" t="n">
        <v>4</v>
      </c>
      <c r="H48" s="281" t="n">
        <v>5</v>
      </c>
      <c r="I48" s="341">
        <f>IFERROR(ROUND(AVERAGE(Tabel26404139[[#This Row],[Demonteerbaarheid]],Tabel26404139[[#This Row],[Materiaalconditie ]],Tabel26404139[[#This Row],[Marktpotentie ]])/5,2),0)</f>
        <v/>
      </c>
      <c r="J48" s="287">
        <f>IF(Tabel26404139[[#This Row],[PRR]]="","Handmatig beoordelen",IF(Tabel26404139[[#This Row],[PRR]]&gt;=0.7,"Hergebruik &gt; recycling",IF(Tabel26404139[[#This Row],[PRR]]&gt;=0.25,"Recycling","Handmatig beoordelen")))</f>
        <v/>
      </c>
      <c r="K48" s="287">
        <f>IF(Tabel26404139[[#This Row],[Routeadvies]]="Hergebruik","Niet standaard toegepast",IF(Tabel26404139[[#This Row],[Routeadvies]]="Hergebruik &gt; recycling","&gt;= 0,7",IF(Tabel26404139[[#This Row],[Routeadvies]]="Recycling","&gt;= 0,25 en &lt; 0,7",IF(Tabel26404139[[#This Row],[Routeadvies]]="Handmatig beoordelen","&lt; 0,25 of geen score",""))))</f>
        <v/>
      </c>
      <c r="L48" s="286">
        <f>IF($B48="Totaal","Totaal",IF(OR($B48="Ramen",$B48="Deuren",$B48="Kozijnen",$B48="Vliesgevels",$B48="Gevelsystemen",$B48="Zonwering",$B48="Trappen"),"Bijzonder aluminium",IF($G48="","Handmatig beoordelen",IF($G48&gt;=4,"A-aluminium",IF($G48&gt;=3,"B-aluminium",IF($G48&gt;0,"C-aluminium","Handmatig beoordelen"))))))</f>
        <v/>
      </c>
      <c r="M48" s="334">
        <f>IFERROR(Tabel26404139[[#This Row],[BIM-volume m³]]*Aluminium!$M$3+Tabel26404139[[#This Row],[BIM-volume m³]]*Tabel26404139[[#This Row],[Transport Impact]]*IF(Tabel26404139[[#This Row],[Transportafstand (km)]]="",0,Tabel26404139[[#This Row],[Transportafstand (km)]]),0)</f>
        <v/>
      </c>
      <c r="N48" s="334">
        <f>IFERROR(Tabel26404139[[#This Row],[BIM-volume m³]]*Aluminium!$N$3+Tabel26404139[[#This Row],[BIM-volume m³]]*Tabel26404139[[#This Row],[Transport Impact]]*IF(Tabel26404139[[#This Row],[Transportafstand (km)]]="",0,Tabel26404139[[#This Row],[Transportafstand (km)]]),0)</f>
        <v/>
      </c>
      <c r="O48" s="334">
        <f>IFERROR(Tabel26404139[[#This Row],[BIM-volume m³]]*Aluminium!$O$3+Tabel26404139[[#This Row],[BIM-volume m³]]*Tabel26404139[[#This Row],[Transport Impact]]*IF(Tabel26404139[[#This Row],[Transportafstand (km)]]="",0,Tabel26404139[[#This Row],[Transportafstand (km)]]),0)</f>
        <v/>
      </c>
      <c r="P48" s="290">
        <f>IF($B55="Totaal",SUM($O$4:$O$12),IFERROR(MAX(0,$M48-MIN($N48,$O48)),0))</f>
        <v/>
      </c>
      <c r="Q48" s="342">
        <f>IF(OR($M48="",$M48=0),"Geen beoordeling",IF(AND($N48=0,$O48=0),"Geen beoordeling",IF($N48&lt;$O48,"Hergebruik",IF($O48&lt;$N48,"Recycling","Hergebruik en recycling gelijk"))))</f>
        <v/>
      </c>
      <c r="R48" s="286">
        <f>IFERROR(Tabel26404139[[#This Row],[BIM-volume m³]]*Tabel26404139[[#This Row],[PRR]],0)</f>
        <v/>
      </c>
      <c r="S48" s="397">
        <f>IFERROR(VLOOKUP(Tabel26404139[[#This Row],[Klasse]],Aluminium!$A$11:$D$14,4,FALSE),0)</f>
        <v/>
      </c>
      <c r="T48" s="399">
        <f>Tabel26404139[[#This Row],[Praktisch terugwinbaar volume m³]]*Tabel26404139[[#This Row],[Verkoopprijs per m³]]</f>
        <v/>
      </c>
      <c r="U48" s="332">
        <f>IF(OR($L48="Handmatig beoordelen",$L48="",$L48="Totaal",$I48=""),"Handmatig",IF($I48&gt;=50%,"Ja","Nee"))</f>
        <v/>
      </c>
      <c r="V48" s="287">
        <f>IF(OR($L48="Handmatig beoordelen",$L48="",$L48="Totaal",$Q48=""),"Handmatig",IF(OR($Q48="Hergebruik",$Q48="Recycling",$Q48="Hergebruik en recycling",$Q48="Hergebruik en recycling gelijk"),"Ja","Nee"))</f>
        <v/>
      </c>
      <c r="W48" s="287">
        <f>IF(OR($L48="Handmatig beoordelen",$L48="",$L48="Totaal"),"Handmatig",IF($T48&gt;0,"Ja","Nee"))</f>
        <v/>
      </c>
      <c r="X48" s="333">
        <f>IF(OR($U48="Handmatig",$V48="Handmatig",$W48="Handmatig"),"Handmatig beoordelen",IF(COUNTIF($U48:$W48,"Ja")&gt;=2,"Interessant",IF(COUNTIF($U48:$W48,"Ja")=1,"Eigen beoordeling","Niet interessant")))</f>
        <v/>
      </c>
      <c r="Y48" s="301" t="n"/>
      <c r="Z48" s="301" t="n"/>
      <c r="AA48" s="301" t="n"/>
      <c r="AB48" s="301" t="n"/>
      <c r="AC48" s="301" t="n"/>
      <c r="AD48" s="301" t="n"/>
      <c r="AE48" s="301" t="n"/>
      <c r="AF48" s="301" t="n"/>
      <c r="AG48" s="301" t="n"/>
    </row>
    <row r="49">
      <c r="A49" s="317" t="n"/>
      <c r="B49" s="318" t="n"/>
      <c r="C49" s="319" t="n"/>
      <c r="D49" s="319" t="n"/>
      <c r="E49" s="320" t="n"/>
      <c r="F49" s="321" t="n"/>
      <c r="G49" s="321" t="n"/>
      <c r="H49" s="321" t="n"/>
      <c r="I49" s="322" t="n"/>
      <c r="J49" s="323" t="n"/>
      <c r="K49" s="320" t="n"/>
      <c r="L49" s="320" t="n"/>
      <c r="M49" s="320" t="n"/>
      <c r="N49" s="403" t="n"/>
      <c r="O49" s="403" t="n"/>
      <c r="P49" s="325" t="n"/>
      <c r="Q49" s="326" t="n"/>
      <c r="R49" s="326" t="n"/>
      <c r="S49" s="327" t="n"/>
      <c r="T49" s="301" t="n"/>
      <c r="U49" s="301" t="n"/>
      <c r="V49" s="301" t="n"/>
      <c r="W49" s="301" t="n"/>
      <c r="X49" s="301" t="n"/>
      <c r="Y49" s="301" t="n"/>
      <c r="Z49" s="301" t="n"/>
      <c r="AA49" s="301" t="n"/>
      <c r="AB49" s="301" t="n"/>
      <c r="AC49" s="301" t="n"/>
      <c r="AD49" s="301" t="n"/>
      <c r="AE49" s="301" t="n"/>
      <c r="AF49" s="301" t="n"/>
      <c r="AG49" s="301" t="n"/>
      <c r="AH49" s="301" t="n"/>
      <c r="AI49" s="301" t="n"/>
      <c r="AJ49" s="301" t="n"/>
      <c r="AK49" s="301" t="n"/>
      <c r="AL49" s="301" t="n"/>
    </row>
    <row r="50" ht="42.75" customHeight="1">
      <c r="A50" s="303" t="inlineStr">
        <is>
          <t>Materiaalstroom</t>
        </is>
      </c>
      <c r="B50" s="304" t="inlineStr">
        <is>
          <t xml:space="preserve"> Bouwdeel uit BIM</t>
        </is>
      </c>
      <c r="C50" s="304" t="inlineStr">
        <is>
          <t>BIM-volume m³</t>
        </is>
      </c>
      <c r="D50" s="366" t="inlineStr">
        <is>
          <t>Transport Impact</t>
        </is>
      </c>
      <c r="E50" s="366" t="inlineStr">
        <is>
          <t>Transportafstand (km)</t>
        </is>
      </c>
      <c r="F50" s="367" t="inlineStr">
        <is>
          <t>Demonteerbaarheid</t>
        </is>
      </c>
      <c r="G50" s="367" t="inlineStr">
        <is>
          <t xml:space="preserve">Materiaalconditie </t>
        </is>
      </c>
      <c r="H50" s="367" t="inlineStr">
        <is>
          <t xml:space="preserve">Marktpotentie </t>
        </is>
      </c>
      <c r="I50" s="304" t="inlineStr">
        <is>
          <t>PRR</t>
        </is>
      </c>
      <c r="J50" s="304" t="inlineStr">
        <is>
          <t>Routeadvies</t>
        </is>
      </c>
      <c r="K50" s="349" t="inlineStr">
        <is>
          <t>Grenswaarde</t>
        </is>
      </c>
      <c r="L50" s="304" t="inlineStr">
        <is>
          <t>Klasse</t>
        </is>
      </c>
      <c r="M50" s="305" t="inlineStr">
        <is>
          <t>Tot. nieuw CO2 (kg)</t>
        </is>
      </c>
      <c r="N50" s="304" t="inlineStr">
        <is>
          <t>Tot. hergebruik CO2 (kg)</t>
        </is>
      </c>
      <c r="O50" s="304" t="inlineStr">
        <is>
          <t>Tot. recycling Co2 (kg)</t>
        </is>
      </c>
      <c r="P50" s="304" t="inlineStr">
        <is>
          <t>Klimaatbesparing kg CO₂</t>
        </is>
      </c>
      <c r="Q50" s="304" t="inlineStr">
        <is>
          <t>Routeadvies 2</t>
        </is>
      </c>
      <c r="R50" s="304" t="inlineStr">
        <is>
          <t>Praktisch terugwinbaar volume m³</t>
        </is>
      </c>
      <c r="S50" s="304" t="inlineStr">
        <is>
          <t>Verkoopprijs per m³</t>
        </is>
      </c>
      <c r="T50" s="304" t="inlineStr">
        <is>
          <t>Financiële marktwaarde excl. kosten</t>
        </is>
      </c>
      <c r="U50" s="368" t="inlineStr">
        <is>
          <t>Recovery hoog?</t>
        </is>
      </c>
      <c r="V50" s="368" t="inlineStr">
        <is>
          <t>Klimaat positief?</t>
        </is>
      </c>
      <c r="W50" s="368" t="inlineStr">
        <is>
          <t>Financiele positief?</t>
        </is>
      </c>
      <c r="X50" s="369" t="inlineStr">
        <is>
          <t>Eindbeoordeling</t>
        </is>
      </c>
      <c r="Y50" s="301" t="n"/>
      <c r="Z50" s="301" t="n"/>
      <c r="AA50" s="301" t="n"/>
      <c r="AB50" s="301" t="n"/>
      <c r="AC50" s="301" t="n"/>
      <c r="AD50" s="301" t="n"/>
      <c r="AE50" s="301" t="n"/>
      <c r="AF50" s="301" t="n"/>
      <c r="AG50" s="301" t="n"/>
      <c r="AH50" s="301" t="n"/>
      <c r="AI50" s="301" t="n"/>
      <c r="AJ50" s="301" t="n"/>
      <c r="AK50" s="301" t="n"/>
      <c r="AL50" s="301" t="n"/>
    </row>
    <row r="51">
      <c r="A51" s="337" t="inlineStr">
        <is>
          <t>Koper</t>
        </is>
      </c>
      <c r="B51" s="338" t="inlineStr">
        <is>
          <t>Totaal</t>
        </is>
      </c>
      <c r="C51" s="370">
        <f>'Koper-data'!B2</f>
        <v/>
      </c>
      <c r="D51" s="275" t="n">
        <v>4</v>
      </c>
      <c r="E51" s="276">
        <f>""</f>
        <v/>
      </c>
      <c r="F51" s="276">
        <f>AVERAGE(F52:F60)</f>
        <v/>
      </c>
      <c r="G51" s="276">
        <f>AVERAGE(G52:G60)</f>
        <v/>
      </c>
      <c r="H51" s="276">
        <f>AVERAGE(H52:H60)</f>
        <v/>
      </c>
      <c r="I51" s="288">
        <f>IFERROR(ROUND(AVERAGE(Tabel26404142[[#This Row],[Demonteerbaarheid]],Tabel26404142[[#This Row],[Materiaalconditie ]],Tabel26404142[[#This Row],[Marktpotentie ]])/5,2),0)</f>
        <v/>
      </c>
      <c r="J51" s="287">
        <f>IF(Tabel26404142[[#This Row],[PRR]]="","Handmatig beoordelen",IF(Tabel26404142[[#This Row],[PRR]]&gt;=0.7,"Hergebruik &gt; recycling",IF(Tabel26404142[[#This Row],[PRR]]&gt;=0.25,"Recycling","Handmatig beoordelen")))</f>
        <v/>
      </c>
      <c r="K51" s="287">
        <f>IF(Tabel26404142[[#This Row],[Routeadvies]]="Hergebruik","Niet standaard toegepast",IF(Tabel26404142[[#This Row],[Routeadvies]]="Hergebruik &gt; recycling","&gt;= 0,7",IF(Tabel26404142[[#This Row],[Routeadvies]]="Recycling","&gt;= 0,25 en &lt; 0,7",IF(Tabel26404142[[#This Row],[Routeadvies]]="Handmatig beoordelen","&lt; 0,25 of geen score",""))))</f>
        <v/>
      </c>
      <c r="L51" s="287">
        <f>IF($B51="Totaal","Totaal",IF(OR($B51="Installaties",$B51="Technische ruimte",$B51="Verdeelkast",$B51="Meterkast",$B51="Bliksemafleiding",$B51="Leidingnetten"),"Bijzonder koper",IF($G51="","Handmatig beoordelen",IF($G51&gt;=4,"Rood koper",IF($G51&gt;=3,"Knip koper",IF($G51&gt;0,"Geel koper / Messing","Kabels inclusief isolatie"))))))</f>
        <v/>
      </c>
      <c r="M51" s="299">
        <f>SUM(M52:M60)</f>
        <v/>
      </c>
      <c r="N51" s="299">
        <f>SUM(N52:N60)</f>
        <v/>
      </c>
      <c r="O51" s="299">
        <f>SUM(O52:O60)</f>
        <v/>
      </c>
      <c r="P51" s="290">
        <f>IF($B58="Totaal",SUM($O$4:$O$12),IFERROR(MAX(0,$M51-MIN($N51,$O51)),0))</f>
        <v/>
      </c>
      <c r="Q51" s="289">
        <f>IF(OR($M51="",$M51=0),"Geen beoordeling",IF(AND($N51=0,$O51=0),"Geen beoordeling",IF($N51&lt;$O51,"Hergebruik",IF($O51&lt;$N51,"Recycling","Hergebruik en recycling gelijk"))))</f>
        <v/>
      </c>
      <c r="R51" s="286">
        <f>IFERROR(Tabel26404142[[#This Row],[BIM-volume m³]]*Tabel26404142[[#This Row],[PRR]],0)</f>
        <v/>
      </c>
      <c r="S51" s="393">
        <f>IFERROR(VLOOKUP(Tabel26404142[[#This Row],[Klasse]],Koper!$B$11:$E$14,4,FALSE),0)</f>
        <v/>
      </c>
      <c r="T51" s="404">
        <f>Tabel26404142[[#This Row],[Praktisch terugwinbaar volume m³]]*Tabel26404142[[#This Row],[Verkoopprijs per m³]]</f>
        <v/>
      </c>
      <c r="U51" s="332">
        <f>IF(OR($L51="Handmatig beoordelen",$L51="",$L51="Totaal",$I51=""),"Handmatig",IF($I51&gt;=50%,"Ja","Nee"))</f>
        <v/>
      </c>
      <c r="V51" s="287">
        <f>IF(OR($L51="Handmatig beoordelen",$L51="",$L51="Totaal",$Q51=""),"Handmatig",IF(OR($Q51="Hergebruik",$Q51="Recycling",$Q51="Hergebruik en recycling",$Q51="Hergebruik en recycling gelijk"),"Ja","Nee"))</f>
        <v/>
      </c>
      <c r="W51" s="287">
        <f>IF(OR($L51="Handmatig beoordelen",$L51="",$L51="Totaal"),"Handmatig",IF($T51&gt;0,"Ja","Nee"))</f>
        <v/>
      </c>
      <c r="X51" s="333">
        <f>IF(OR($U51="Handmatig",$V51="Handmatig",$W51="Handmatig"),"Handmatig beoordelen",IF(COUNTIF($U51:$W51,"Ja")&gt;=2,"Interessant",IF(COUNTIF($U51:$W51,"Ja")=1,"Eigen beoordeling","Niet interessant")))</f>
        <v/>
      </c>
      <c r="Y51" s="301" t="n"/>
      <c r="Z51" s="301" t="n"/>
      <c r="AA51" s="301" t="n"/>
      <c r="AB51" s="301" t="n"/>
      <c r="AC51" s="301" t="n"/>
      <c r="AD51" s="301" t="n"/>
      <c r="AE51" s="301" t="n"/>
      <c r="AF51" s="301" t="n"/>
      <c r="AG51" s="301" t="n"/>
      <c r="AH51" s="301" t="n"/>
      <c r="AI51" s="301" t="n"/>
      <c r="AJ51" s="301" t="n"/>
      <c r="AK51" s="301" t="n"/>
      <c r="AL51" s="301" t="n"/>
    </row>
    <row r="52">
      <c r="A52" s="337" t="inlineStr">
        <is>
          <t>Koper</t>
        </is>
      </c>
      <c r="B52" s="285" t="inlineStr">
        <is>
          <t>Plafonds</t>
        </is>
      </c>
      <c r="C52" s="370">
        <f>'Koper-data'!B3</f>
        <v/>
      </c>
      <c r="D52" s="277" t="n">
        <v>4</v>
      </c>
      <c r="E52" s="276" t="n">
        <v>20</v>
      </c>
      <c r="F52" s="278" t="n">
        <v>1</v>
      </c>
      <c r="G52" s="278" t="n">
        <v>4</v>
      </c>
      <c r="H52" s="278" t="n">
        <v>5</v>
      </c>
      <c r="I52" s="288">
        <f>IFERROR(ROUND(AVERAGE(Tabel26404142[[#This Row],[Demonteerbaarheid]],Tabel26404142[[#This Row],[Materiaalconditie ]],Tabel26404142[[#This Row],[Marktpotentie ]])/5,2),0)</f>
        <v/>
      </c>
      <c r="J52" s="287">
        <f>IF(Tabel26404142[[#This Row],[PRR]]="","Handmatig beoordelen",IF(Tabel26404142[[#This Row],[PRR]]&gt;=0.7,"Hergebruik &gt; recycling",IF(Tabel26404142[[#This Row],[PRR]]&gt;=0.25,"Recycling","Handmatig beoordelen")))</f>
        <v/>
      </c>
      <c r="K52" s="287">
        <f>IF(Tabel26404142[[#This Row],[Routeadvies]]="Hergebruik","Niet standaard toegepast",IF(Tabel26404142[[#This Row],[Routeadvies]]="Hergebruik &gt; recycling","&gt;= 0,7",IF(Tabel26404142[[#This Row],[Routeadvies]]="Recycling","&gt;= 0,25 en &lt; 0,7",IF(Tabel26404142[[#This Row],[Routeadvies]]="Handmatig beoordelen","&lt; 0,25 of geen score",""))))</f>
        <v/>
      </c>
      <c r="L52" s="287">
        <f>IF($B52="Totaal","Totaal",IF(OR($B52="Installaties",$B52="Technische ruimte",$B52="Verdeelkast",$B52="Meterkast",$B52="Bliksemafleiding",$B52="Leidingnetten"),"Bijzonder koper",IF($G52="","Handmatig beoordelen",IF($G52&gt;=4,"Rood koper",IF($G52&gt;=3,"Knip koper",IF($G52&gt;0,"Geel koper / Messing","Kabels inclusief isolatie"))))))</f>
        <v/>
      </c>
      <c r="M52" s="299">
        <f>IFERROR(Tabel26404142[[#This Row],[BIM-volume m³]]*Koper!$N$3+Tabel26404142[[#This Row],[BIM-volume m³]]*Tabel26404142[[#This Row],[Transport Impact]]*IF(Tabel26404142[[#This Row],[Transportafstand (km)]]="",0,Tabel26404142[[#This Row],[Transportafstand (km)]])/1000,0)</f>
        <v/>
      </c>
      <c r="N52" s="299">
        <f>IFERROR(Tabel26404142[[#This Row],[BIM-volume m³]]*Koper!$O$3+Tabel26404142[[#This Row],[BIM-volume m³]]*Tabel26404142[[#This Row],[Transport Impact]]*IF(Tabel26404142[[#This Row],[Transportafstand (km)]]="",0,Tabel26404142[[#This Row],[Transportafstand (km)]])/1000,0)</f>
        <v/>
      </c>
      <c r="O52" s="299">
        <f>IFERROR(Tabel26404142[[#This Row],[BIM-volume m³]]*Koper!$P$3+Tabel26404142[[#This Row],[BIM-volume m³]]*Tabel26404142[[#This Row],[Transport Impact]]*IF(Tabel26404142[[#This Row],[Transportafstand (km)]]="",0,Tabel26404142[[#This Row],[Transportafstand (km)]])/1000,0)</f>
        <v/>
      </c>
      <c r="P52" s="290">
        <f>IF($B59="Totaal",SUM($O$4:$O$12),IFERROR(MAX(0,$M52-MIN($N52,$O52)),0))</f>
        <v/>
      </c>
      <c r="Q52" s="291">
        <f>IF(OR($M52="",$M52=0),"Geen beoordeling",IF(AND($N52=0,$O52=0),"Geen beoordeling",IF($N52&lt;$O52,"Hergebruik",IF($O52&lt;$N52,"Recycling","Hergebruik en recycling gelijk"))))</f>
        <v/>
      </c>
      <c r="R52" s="286">
        <f>IFERROR(Tabel26404142[[#This Row],[BIM-volume m³]]*Tabel26404142[[#This Row],[PRR]],0)</f>
        <v/>
      </c>
      <c r="S52" s="393">
        <f>IFERROR(VLOOKUP(Tabel26404142[[#This Row],[Klasse]],Koper!$B$11:$E$14,4,FALSE),0)</f>
        <v/>
      </c>
      <c r="T52" s="404">
        <f>Tabel26404142[[#This Row],[Praktisch terugwinbaar volume m³]]*Tabel26404142[[#This Row],[Verkoopprijs per m³]]</f>
        <v/>
      </c>
      <c r="U52" s="332">
        <f>IF(OR($L52="Handmatig beoordelen",$L52="",$L52="Totaal",$I52=""),"Handmatig",IF($I52&gt;=50%,"Ja","Nee"))</f>
        <v/>
      </c>
      <c r="V52" s="287">
        <f>IF(OR($L52="Handmatig beoordelen",$L52="",$L52="Totaal",$Q52=""),"Handmatig",IF(OR($Q52="Hergebruik",$Q52="Recycling",$Q52="Hergebruik en recycling",$Q52="Hergebruik en recycling gelijk"),"Ja","Nee"))</f>
        <v/>
      </c>
      <c r="W52" s="287">
        <f>IF(OR($L52="Handmatig beoordelen",$L52="",$L52="Totaal"),"Handmatig",IF($T52&gt;0,"Ja","Nee"))</f>
        <v/>
      </c>
      <c r="X52" s="333">
        <f>IF(OR($U52="Handmatig",$V52="Handmatig",$W52="Handmatig"),"Handmatig beoordelen",IF(COUNTIF($U52:$W52,"Ja")&gt;=2,"Interessant",IF(COUNTIF($U52:$W52,"Ja")=1,"Eigen beoordeling","Niet interessant")))</f>
        <v/>
      </c>
      <c r="Y52" s="301" t="n"/>
      <c r="Z52" s="301" t="n"/>
      <c r="AA52" s="301" t="n"/>
      <c r="AB52" s="301" t="n"/>
      <c r="AC52" s="301" t="n"/>
      <c r="AD52" s="301" t="n"/>
      <c r="AE52" s="301" t="n"/>
      <c r="AF52" s="301" t="n"/>
      <c r="AG52" s="301" t="n"/>
      <c r="AH52" s="301" t="n"/>
      <c r="AI52" s="301" t="n"/>
      <c r="AJ52" s="301" t="n"/>
      <c r="AK52" s="301" t="n"/>
      <c r="AL52" s="301" t="n"/>
    </row>
    <row r="53">
      <c r="A53" s="337" t="inlineStr">
        <is>
          <t>Koper</t>
        </is>
      </c>
      <c r="B53" s="285" t="inlineStr">
        <is>
          <t>Kolommen</t>
        </is>
      </c>
      <c r="C53" s="370">
        <f>'Koper-data'!B4</f>
        <v/>
      </c>
      <c r="D53" s="277" t="n">
        <v>4</v>
      </c>
      <c r="E53" s="276" t="n">
        <v>20</v>
      </c>
      <c r="F53" s="328" t="n">
        <v>1</v>
      </c>
      <c r="G53" s="328" t="n">
        <v>5</v>
      </c>
      <c r="H53" s="328" t="n">
        <v>4</v>
      </c>
      <c r="I53" s="288">
        <f>IFERROR(ROUND(AVERAGE(Tabel26404142[[#This Row],[Demonteerbaarheid]],Tabel26404142[[#This Row],[Materiaalconditie ]],Tabel26404142[[#This Row],[Marktpotentie ]])/5,2),0)</f>
        <v/>
      </c>
      <c r="J53" s="287">
        <f>IF(Tabel26404142[[#This Row],[PRR]]="","Handmatig beoordelen",IF(Tabel26404142[[#This Row],[PRR]]&gt;=0.7,"Hergebruik &gt; recycling",IF(Tabel26404142[[#This Row],[PRR]]&gt;=0.25,"Recycling","Handmatig beoordelen")))</f>
        <v/>
      </c>
      <c r="K53" s="287">
        <f>IF(Tabel26404142[[#This Row],[Routeadvies]]="Hergebruik","Niet standaard toegepast",IF(Tabel26404142[[#This Row],[Routeadvies]]="Hergebruik &gt; recycling","&gt;= 0,7",IF(Tabel26404142[[#This Row],[Routeadvies]]="Recycling","&gt;= 0,25 en &lt; 0,7",IF(Tabel26404142[[#This Row],[Routeadvies]]="Handmatig beoordelen","&lt; 0,25 of geen score",""))))</f>
        <v/>
      </c>
      <c r="L53" s="287">
        <f>IF($B53="Totaal","Totaal",IF(OR($B53="Installaties",$B53="Technische ruimte",$B53="Verdeelkast",$B53="Meterkast",$B53="Bliksemafleiding",$B53="Leidingnetten"),"Bijzonder koper",IF($G53="","Handmatig beoordelen",IF($G53&gt;=4,"Rood koper",IF($G53&gt;=3,"Knip koper",IF($G53&gt;0,"Geel koper / Messing","Kabels inclusief isolatie"))))))</f>
        <v/>
      </c>
      <c r="M53" s="299">
        <f>IFERROR(Tabel26404142[[#This Row],[BIM-volume m³]]*Koper!$N$3+Tabel26404142[[#This Row],[BIM-volume m³]]*Tabel26404142[[#This Row],[Transport Impact]]*IF(Tabel26404142[[#This Row],[Transportafstand (km)]]="",0,Tabel26404142[[#This Row],[Transportafstand (km)]])/1000,0)</f>
        <v/>
      </c>
      <c r="N53" s="299">
        <f>IFERROR(Tabel26404142[[#This Row],[BIM-volume m³]]*Koper!$O$3+Tabel26404142[[#This Row],[BIM-volume m³]]*Tabel26404142[[#This Row],[Transport Impact]]*IF(Tabel26404142[[#This Row],[Transportafstand (km)]]="",0,Tabel26404142[[#This Row],[Transportafstand (km)]])/1000,0)</f>
        <v/>
      </c>
      <c r="O53" s="299">
        <f>IFERROR(Tabel26404142[[#This Row],[BIM-volume m³]]*Koper!$P$3+Tabel26404142[[#This Row],[BIM-volume m³]]*Tabel26404142[[#This Row],[Transport Impact]]*IF(Tabel26404142[[#This Row],[Transportafstand (km)]]="",0,Tabel26404142[[#This Row],[Transportafstand (km)]])/1000,0)</f>
        <v/>
      </c>
      <c r="P53" s="290">
        <f>IF($B60="Totaal",SUM($O$4:$O$12),IFERROR(MAX(0,$M53-MIN($N53,$O53)),0))</f>
        <v/>
      </c>
      <c r="Q53" s="291">
        <f>IF(OR($M53="",$M53=0),"Geen beoordeling",IF(AND($N53=0,$O53=0),"Geen beoordeling",IF($N53&lt;$O53,"Hergebruik",IF($O53&lt;$N53,"Recycling","Hergebruik en recycling gelijk"))))</f>
        <v/>
      </c>
      <c r="R53" s="286">
        <f>IFERROR(Tabel26404142[[#This Row],[BIM-volume m³]]*Tabel26404142[[#This Row],[PRR]],0)</f>
        <v/>
      </c>
      <c r="S53" s="393">
        <f>IFERROR(VLOOKUP(Tabel26404142[[#This Row],[Klasse]],Koper!$B$11:$E$14,4,FALSE),0)</f>
        <v/>
      </c>
      <c r="T53" s="404">
        <f>Tabel26404142[[#This Row],[Praktisch terugwinbaar volume m³]]*Tabel26404142[[#This Row],[Verkoopprijs per m³]]</f>
        <v/>
      </c>
      <c r="U53" s="332">
        <f>IF(OR($L53="Handmatig beoordelen",$L53="",$L53="Totaal",$I53=""),"Handmatig",IF($I53&gt;=50%,"Ja","Nee"))</f>
        <v/>
      </c>
      <c r="V53" s="287">
        <f>IF(OR($L53="Handmatig beoordelen",$L53="",$L53="Totaal",$Q53=""),"Handmatig",IF(OR($Q53="Hergebruik",$Q53="Recycling",$Q53="Hergebruik en recycling",$Q53="Hergebruik en recycling gelijk"),"Ja","Nee"))</f>
        <v/>
      </c>
      <c r="W53" s="287">
        <f>IF(OR($L53="Handmatig beoordelen",$L53="",$L53="Totaal"),"Handmatig",IF($T53&gt;0,"Ja","Nee"))</f>
        <v/>
      </c>
      <c r="X53" s="333">
        <f>IF(OR($U53="Handmatig",$V53="Handmatig",$W53="Handmatig"),"Handmatig beoordelen",IF(COUNTIF($U53:$W53,"Ja")&gt;=2,"Interessant",IF(COUNTIF($U53:$W53,"Ja")=1,"Eigen beoordeling","Niet interessant")))</f>
        <v/>
      </c>
      <c r="Y53" s="301" t="n"/>
      <c r="Z53" s="301" t="n"/>
      <c r="AA53" s="301" t="n"/>
      <c r="AB53" s="301" t="n"/>
      <c r="AC53" s="301" t="n"/>
      <c r="AD53" s="301" t="n"/>
      <c r="AE53" s="301" t="n"/>
      <c r="AF53" s="301" t="n"/>
      <c r="AG53" s="301" t="n"/>
      <c r="AH53" s="301" t="n"/>
      <c r="AI53" s="301" t="n"/>
      <c r="AJ53" s="301" t="n"/>
      <c r="AK53" s="301" t="n"/>
      <c r="AL53" s="301" t="n"/>
    </row>
    <row r="54">
      <c r="A54" s="337" t="inlineStr">
        <is>
          <t>Koper</t>
        </is>
      </c>
      <c r="B54" s="285" t="inlineStr">
        <is>
          <t>Gevelpanelen</t>
        </is>
      </c>
      <c r="C54" s="275">
        <f>'Koper-data'!B5</f>
        <v/>
      </c>
      <c r="D54" s="277" t="n">
        <v>4</v>
      </c>
      <c r="E54" s="276" t="n">
        <v>20</v>
      </c>
      <c r="F54" s="328" t="n">
        <v>5</v>
      </c>
      <c r="G54" s="328" t="n">
        <v>4</v>
      </c>
      <c r="H54" s="328" t="n">
        <v>4</v>
      </c>
      <c r="I54" s="288">
        <f>IFERROR(ROUND(AVERAGE(Tabel26404142[[#This Row],[Demonteerbaarheid]],Tabel26404142[[#This Row],[Materiaalconditie ]],Tabel26404142[[#This Row],[Marktpotentie ]])/5,2),0)</f>
        <v/>
      </c>
      <c r="J54" s="287">
        <f>IF(Tabel26404142[[#This Row],[PRR]]="","Handmatig beoordelen",IF(Tabel26404142[[#This Row],[PRR]]&gt;=0.7,"Hergebruik &gt; recycling",IF(Tabel26404142[[#This Row],[PRR]]&gt;=0.25,"Recycling","Handmatig beoordelen")))</f>
        <v/>
      </c>
      <c r="K54" s="287">
        <f>IF(Tabel26404142[[#This Row],[Routeadvies]]="Hergebruik","Niet standaard toegepast",IF(Tabel26404142[[#This Row],[Routeadvies]]="Hergebruik &gt; recycling","&gt;= 0,7",IF(Tabel26404142[[#This Row],[Routeadvies]]="Recycling","&gt;= 0,25 en &lt; 0,7",IF(Tabel26404142[[#This Row],[Routeadvies]]="Handmatig beoordelen","&lt; 0,25 of geen score",""))))</f>
        <v/>
      </c>
      <c r="L54" s="287">
        <f>IF($B54="Totaal","Totaal",IF(OR($B54="Installaties",$B54="Technische ruimte",$B54="Verdeelkast",$B54="Meterkast",$B54="Bliksemafleiding",$B54="Leidingnetten"),"Bijzonder koper",IF($G54="","Handmatig beoordelen",IF($G54&gt;=4,"Rood koper",IF($G54&gt;=3,"Knip koper",IF($G54&gt;0,"Geel koper / Messing","Kabels inclusief isolatie"))))))</f>
        <v/>
      </c>
      <c r="M54" s="299">
        <f>IFERROR(Tabel26404142[[#This Row],[BIM-volume m³]]*Koper!$N$3+Tabel26404142[[#This Row],[BIM-volume m³]]*Tabel26404142[[#This Row],[Transport Impact]]*IF(Tabel26404142[[#This Row],[Transportafstand (km)]]="",0,Tabel26404142[[#This Row],[Transportafstand (km)]])/1000,0)</f>
        <v/>
      </c>
      <c r="N54" s="299">
        <f>IFERROR(Tabel26404142[[#This Row],[BIM-volume m³]]*Koper!$O$3+Tabel26404142[[#This Row],[BIM-volume m³]]*Tabel26404142[[#This Row],[Transport Impact]]*IF(Tabel26404142[[#This Row],[Transportafstand (km)]]="",0,Tabel26404142[[#This Row],[Transportafstand (km)]])/1000,0)</f>
        <v/>
      </c>
      <c r="O54" s="299">
        <f>IFERROR(Tabel26404142[[#This Row],[BIM-volume m³]]*Koper!$P$3+Tabel26404142[[#This Row],[BIM-volume m³]]*Tabel26404142[[#This Row],[Transport Impact]]*IF(Tabel26404142[[#This Row],[Transportafstand (km)]]="",0,Tabel26404142[[#This Row],[Transportafstand (km)]])/1000,0)</f>
        <v/>
      </c>
      <c r="P54" s="290">
        <f>IF($B61="Totaal",SUM($O$4:$O$12),IFERROR(MAX(0,$M54-MIN($N54,$O54)),0))</f>
        <v/>
      </c>
      <c r="Q54" s="291">
        <f>IF(OR($M54="",$M54=0),"Geen beoordeling",IF(AND($N54=0,$O54=0),"Geen beoordeling",IF($N54&lt;$O54,"Hergebruik",IF($O54&lt;$N54,"Recycling","Hergebruik en recycling gelijk"))))</f>
        <v/>
      </c>
      <c r="R54" s="286">
        <f>IFERROR(Tabel26404142[[#This Row],[BIM-volume m³]]*Tabel26404142[[#This Row],[PRR]],0)</f>
        <v/>
      </c>
      <c r="S54" s="393">
        <f>IFERROR(VLOOKUP(Tabel26404142[[#This Row],[Klasse]],Koper!$B$11:$E$14,4,FALSE),0)</f>
        <v/>
      </c>
      <c r="T54" s="404">
        <f>Tabel26404142[[#This Row],[Praktisch terugwinbaar volume m³]]*Tabel26404142[[#This Row],[Verkoopprijs per m³]]</f>
        <v/>
      </c>
      <c r="U54" s="332">
        <f>IF(OR($L54="Handmatig beoordelen",$L54="",$L54="Totaal",$I54=""),"Handmatig",IF($I54&gt;=50%,"Ja","Nee"))</f>
        <v/>
      </c>
      <c r="V54" s="287">
        <f>IF(OR($L54="Handmatig beoordelen",$L54="",$L54="Totaal",$Q54=""),"Handmatig",IF(OR($Q54="Hergebruik",$Q54="Recycling",$Q54="Hergebruik en recycling",$Q54="Hergebruik en recycling gelijk"),"Ja","Nee"))</f>
        <v/>
      </c>
      <c r="W54" s="287">
        <f>IF(OR($L54="Handmatig beoordelen",$L54="",$L54="Totaal"),"Handmatig",IF($T54&gt;0,"Ja","Nee"))</f>
        <v/>
      </c>
      <c r="X54" s="333">
        <f>IF(OR($U54="Handmatig",$V54="Handmatig",$W54="Handmatig"),"Handmatig beoordelen",IF(COUNTIF($U54:$W54,"Ja")&gt;=2,"Interessant",IF(COUNTIF($U54:$W54,"Ja")=1,"Eigen beoordeling","Niet interessant")))</f>
        <v/>
      </c>
      <c r="Y54" s="301" t="n"/>
      <c r="Z54" s="301" t="n"/>
      <c r="AA54" s="301" t="n"/>
      <c r="AB54" s="301" t="n"/>
      <c r="AC54" s="301" t="n"/>
      <c r="AD54" s="301" t="n"/>
      <c r="AE54" s="301" t="n"/>
      <c r="AF54" s="301" t="n"/>
      <c r="AG54" s="301" t="n"/>
      <c r="AH54" s="301" t="n"/>
      <c r="AI54" s="301" t="n"/>
      <c r="AJ54" s="301" t="n"/>
      <c r="AK54" s="301" t="n"/>
      <c r="AL54" s="301" t="n"/>
    </row>
    <row r="55">
      <c r="A55" s="337" t="inlineStr">
        <is>
          <t>Koper</t>
        </is>
      </c>
      <c r="B55" s="285" t="inlineStr">
        <is>
          <t>Deuren</t>
        </is>
      </c>
      <c r="C55" s="275">
        <f>'Koper-data'!B6</f>
        <v/>
      </c>
      <c r="D55" s="277" t="n">
        <v>4</v>
      </c>
      <c r="E55" s="276" t="n">
        <v>20</v>
      </c>
      <c r="F55" s="328" t="n">
        <v>5</v>
      </c>
      <c r="G55" s="328" t="n">
        <v>4</v>
      </c>
      <c r="H55" s="328" t="n">
        <v>5</v>
      </c>
      <c r="I55" s="288">
        <f>IFERROR(ROUND(AVERAGE(Tabel26404142[[#This Row],[Demonteerbaarheid]],Tabel26404142[[#This Row],[Materiaalconditie ]],Tabel26404142[[#This Row],[Marktpotentie ]])/5,2),0)</f>
        <v/>
      </c>
      <c r="J55" s="287">
        <f>IF(Tabel26404142[[#This Row],[PRR]]="","Handmatig beoordelen",IF(Tabel26404142[[#This Row],[PRR]]&gt;=0.7,"Hergebruik &gt; recycling",IF(Tabel26404142[[#This Row],[PRR]]&gt;=0.25,"Recycling","Handmatig beoordelen")))</f>
        <v/>
      </c>
      <c r="K55" s="287">
        <f>IF(Tabel26404142[[#This Row],[Routeadvies]]="Hergebruik","Niet standaard toegepast",IF(Tabel26404142[[#This Row],[Routeadvies]]="Hergebruik &gt; recycling","&gt;= 0,7",IF(Tabel26404142[[#This Row],[Routeadvies]]="Recycling","&gt;= 0,25 en &lt; 0,7",IF(Tabel26404142[[#This Row],[Routeadvies]]="Handmatig beoordelen","&lt; 0,25 of geen score",""))))</f>
        <v/>
      </c>
      <c r="L55" s="287">
        <f>IF($B55="Totaal","Totaal",IF(OR($B55="Installaties",$B55="Technische ruimte",$B55="Verdeelkast",$B55="Meterkast",$B55="Bliksemafleiding",$B55="Leidingnetten"),"Bijzonder koper",IF($G55="","Handmatig beoordelen",IF($G55&gt;=4,"Rood koper",IF($G55&gt;=3,"Knip koper",IF($G55&gt;0,"Geel koper / Messing","Kabels inclusief isolatie"))))))</f>
        <v/>
      </c>
      <c r="M55" s="299">
        <f>IFERROR(Tabel26404142[[#This Row],[BIM-volume m³]]*Koper!$N$3+Tabel26404142[[#This Row],[BIM-volume m³]]*Tabel26404142[[#This Row],[Transport Impact]]*IF(Tabel26404142[[#This Row],[Transportafstand (km)]]="",0,Tabel26404142[[#This Row],[Transportafstand (km)]])/1000,0)</f>
        <v/>
      </c>
      <c r="N55" s="299">
        <f>IFERROR(Tabel26404142[[#This Row],[BIM-volume m³]]*Koper!$O$3+Tabel26404142[[#This Row],[BIM-volume m³]]*Tabel26404142[[#This Row],[Transport Impact]]*IF(Tabel26404142[[#This Row],[Transportafstand (km)]]="",0,Tabel26404142[[#This Row],[Transportafstand (km)]])/1000,0)</f>
        <v/>
      </c>
      <c r="O55" s="299">
        <f>IFERROR(Tabel26404142[[#This Row],[BIM-volume m³]]*Koper!$P$3+Tabel26404142[[#This Row],[BIM-volume m³]]*Tabel26404142[[#This Row],[Transport Impact]]*IF(Tabel26404142[[#This Row],[Transportafstand (km)]]="",0,Tabel26404142[[#This Row],[Transportafstand (km)]])/1000,0)</f>
        <v/>
      </c>
      <c r="P55" s="290">
        <f>IF($B62="Totaal",SUM($O$4:$O$12),IFERROR(MAX(0,$M55-MIN($N55,$O55)),0))</f>
        <v/>
      </c>
      <c r="Q55" s="291">
        <f>IF(OR($M55="",$M55=0),"Geen beoordeling",IF(AND($N55=0,$O55=0),"Geen beoordeling",IF($N55&lt;$O55,"Hergebruik",IF($O55&lt;$N55,"Recycling","Hergebruik en recycling gelijk"))))</f>
        <v/>
      </c>
      <c r="R55" s="286">
        <f>IFERROR(Tabel26404142[[#This Row],[BIM-volume m³]]*Tabel26404142[[#This Row],[PRR]],0)</f>
        <v/>
      </c>
      <c r="S55" s="393">
        <f>IFERROR(VLOOKUP(Tabel26404142[[#This Row],[Klasse]],Koper!$B$11:$E$14,4,FALSE),0)</f>
        <v/>
      </c>
      <c r="T55" s="404">
        <f>Tabel26404142[[#This Row],[Praktisch terugwinbaar volume m³]]*Tabel26404142[[#This Row],[Verkoopprijs per m³]]</f>
        <v/>
      </c>
      <c r="U55" s="332">
        <f>IF(OR($L55="Handmatig beoordelen",$L55="",$L55="Totaal",$I55=""),"Handmatig",IF($I55&gt;=50%,"Ja","Nee"))</f>
        <v/>
      </c>
      <c r="V55" s="287">
        <f>IF(OR($L55="Handmatig beoordelen",$L55="",$L55="Totaal",$Q55=""),"Handmatig",IF(OR($Q55="Hergebruik",$Q55="Recycling",$Q55="Hergebruik en recycling",$Q55="Hergebruik en recycling gelijk"),"Ja","Nee"))</f>
        <v/>
      </c>
      <c r="W55" s="287">
        <f>IF(OR($L55="Handmatig beoordelen",$L55="",$L55="Totaal"),"Handmatig",IF($T55&gt;0,"Ja","Nee"))</f>
        <v/>
      </c>
      <c r="X55" s="333">
        <f>IF(OR($U55="Handmatig",$V55="Handmatig",$W55="Handmatig"),"Handmatig beoordelen",IF(COUNTIF($U55:$W55,"Ja")&gt;=2,"Interessant",IF(COUNTIF($U55:$W55,"Ja")=1,"Eigen beoordeling","Niet interessant")))</f>
        <v/>
      </c>
      <c r="Y55" s="301" t="n"/>
      <c r="Z55" s="301" t="n"/>
      <c r="AA55" s="301" t="n"/>
      <c r="AB55" s="301" t="n"/>
      <c r="AC55" s="301" t="n"/>
      <c r="AD55" s="301" t="n"/>
      <c r="AE55" s="301" t="n"/>
      <c r="AF55" s="301" t="n"/>
      <c r="AG55" s="301" t="n"/>
      <c r="AH55" s="301" t="n"/>
      <c r="AI55" s="301" t="n"/>
      <c r="AJ55" s="301" t="n"/>
      <c r="AK55" s="301" t="n"/>
      <c r="AL55" s="301" t="n"/>
    </row>
    <row r="56">
      <c r="A56" s="337" t="inlineStr">
        <is>
          <t>Koper</t>
        </is>
      </c>
      <c r="B56" s="285" t="inlineStr">
        <is>
          <t>Vloeren</t>
        </is>
      </c>
      <c r="C56" s="275">
        <f>'Koper-data'!B7</f>
        <v/>
      </c>
      <c r="D56" s="277" t="n">
        <v>4</v>
      </c>
      <c r="E56" s="276" t="n">
        <v>20</v>
      </c>
      <c r="F56" s="328" t="n">
        <v>1</v>
      </c>
      <c r="G56" s="328" t="n">
        <v>4</v>
      </c>
      <c r="H56" s="328" t="n">
        <v>3</v>
      </c>
      <c r="I56" s="288">
        <f>IFERROR(ROUND(AVERAGE(Tabel26404142[[#This Row],[Demonteerbaarheid]],Tabel26404142[[#This Row],[Materiaalconditie ]],Tabel26404142[[#This Row],[Marktpotentie ]])/5,2),0)</f>
        <v/>
      </c>
      <c r="J56" s="287">
        <f>IF(Tabel26404142[[#This Row],[PRR]]="","Handmatig beoordelen",IF(Tabel26404142[[#This Row],[PRR]]&gt;=0.7,"Hergebruik &gt; recycling",IF(Tabel26404142[[#This Row],[PRR]]&gt;=0.25,"Recycling","Handmatig beoordelen")))</f>
        <v/>
      </c>
      <c r="K56" s="287">
        <f>IF(Tabel26404142[[#This Row],[Routeadvies]]="Hergebruik","Niet standaard toegepast",IF(Tabel26404142[[#This Row],[Routeadvies]]="Hergebruik &gt; recycling","&gt;= 0,7",IF(Tabel26404142[[#This Row],[Routeadvies]]="Recycling","&gt;= 0,25 en &lt; 0,7",IF(Tabel26404142[[#This Row],[Routeadvies]]="Handmatig beoordelen","&lt; 0,25 of geen score",""))))</f>
        <v/>
      </c>
      <c r="L56" s="287">
        <f>IF($B56="Totaal","Totaal",IF(OR($B56="Installaties",$B56="Technische ruimte",$B56="Verdeelkast",$B56="Meterkast",$B56="Bliksemafleiding",$B56="Leidingnetten"),"Bijzonder koper",IF($G56="","Handmatig beoordelen",IF($G56&gt;=4,"Rood koper",IF($G56&gt;=3,"Knip koper",IF($G56&gt;0,"Geel koper / Messing","Kabels inclusief isolatie"))))))</f>
        <v/>
      </c>
      <c r="M56" s="299">
        <f>IFERROR(Tabel26404142[[#This Row],[BIM-volume m³]]*Koper!$N$3+Tabel26404142[[#This Row],[BIM-volume m³]]*Tabel26404142[[#This Row],[Transport Impact]]*IF(Tabel26404142[[#This Row],[Transportafstand (km)]]="",0,Tabel26404142[[#This Row],[Transportafstand (km)]])/1000,0)</f>
        <v/>
      </c>
      <c r="N56" s="299">
        <f>IFERROR(Tabel26404142[[#This Row],[BIM-volume m³]]*Koper!$O$3+Tabel26404142[[#This Row],[BIM-volume m³]]*Tabel26404142[[#This Row],[Transport Impact]]*IF(Tabel26404142[[#This Row],[Transportafstand (km)]]="",0,Tabel26404142[[#This Row],[Transportafstand (km)]])/1000,0)</f>
        <v/>
      </c>
      <c r="O56" s="299">
        <f>IFERROR(Tabel26404142[[#This Row],[BIM-volume m³]]*Koper!$P$3+Tabel26404142[[#This Row],[BIM-volume m³]]*Tabel26404142[[#This Row],[Transport Impact]]*IF(Tabel26404142[[#This Row],[Transportafstand (km)]]="",0,Tabel26404142[[#This Row],[Transportafstand (km)]])/1000,0)</f>
        <v/>
      </c>
      <c r="P56" s="290">
        <f>IF($B63="Totaal",SUM($O$4:$O$12),IFERROR(MAX(0,$M56-MIN($N56,$O56)),0))</f>
        <v/>
      </c>
      <c r="Q56" s="291">
        <f>IF(OR($M56="",$M56=0),"Geen beoordeling",IF(AND($N56=0,$O56=0),"Geen beoordeling",IF($N56&lt;$O56,"Hergebruik",IF($O56&lt;$N56,"Recycling","Hergebruik en recycling gelijk"))))</f>
        <v/>
      </c>
      <c r="R56" s="286">
        <f>IFERROR(Tabel26404142[[#This Row],[BIM-volume m³]]*Tabel26404142[[#This Row],[PRR]],0)</f>
        <v/>
      </c>
      <c r="S56" s="393">
        <f>IFERROR(VLOOKUP(Tabel26404142[[#This Row],[Klasse]],Koper!$B$11:$E$14,4,FALSE),0)</f>
        <v/>
      </c>
      <c r="T56" s="404">
        <f>Tabel26404142[[#This Row],[Praktisch terugwinbaar volume m³]]*Tabel26404142[[#This Row],[Verkoopprijs per m³]]</f>
        <v/>
      </c>
      <c r="U56" s="332">
        <f>IF(OR($L56="Handmatig beoordelen",$L56="",$L56="Totaal",$I56=""),"Handmatig",IF($I56&gt;=50%,"Ja","Nee"))</f>
        <v/>
      </c>
      <c r="V56" s="287">
        <f>IF(OR($L56="Handmatig beoordelen",$L56="",$L56="Totaal",$Q56=""),"Handmatig",IF(OR($Q56="Hergebruik",$Q56="Recycling",$Q56="Hergebruik en recycling",$Q56="Hergebruik en recycling gelijk"),"Ja","Nee"))</f>
        <v/>
      </c>
      <c r="W56" s="287">
        <f>IF(OR($L56="Handmatig beoordelen",$L56="",$L56="Totaal"),"Handmatig",IF($T56&gt;0,"Ja","Nee"))</f>
        <v/>
      </c>
      <c r="X56" s="333">
        <f>IF(OR($U56="Handmatig",$V56="Handmatig",$W56="Handmatig"),"Handmatig beoordelen",IF(COUNTIF($U56:$W56,"Ja")&gt;=2,"Interessant",IF(COUNTIF($U56:$W56,"Ja")=1,"Eigen beoordeling","Niet interessant")))</f>
        <v/>
      </c>
      <c r="Y56" s="301" t="n"/>
      <c r="Z56" s="301" t="n"/>
      <c r="AA56" s="301" t="n"/>
      <c r="AB56" s="301" t="n"/>
      <c r="AC56" s="301" t="n"/>
      <c r="AD56" s="301" t="n"/>
      <c r="AE56" s="301" t="n"/>
      <c r="AF56" s="301" t="n"/>
      <c r="AG56" s="301" t="n"/>
      <c r="AH56" s="301" t="n"/>
      <c r="AI56" s="301" t="n"/>
      <c r="AJ56" s="301" t="n"/>
      <c r="AK56" s="301" t="n"/>
      <c r="AL56" s="301" t="n"/>
    </row>
    <row r="57">
      <c r="A57" s="337" t="inlineStr">
        <is>
          <t>Koper</t>
        </is>
      </c>
      <c r="B57" s="285" t="inlineStr">
        <is>
          <t>Daken</t>
        </is>
      </c>
      <c r="C57" s="275">
        <f>'Koper-data'!B8</f>
        <v/>
      </c>
      <c r="D57" s="277" t="n">
        <v>4</v>
      </c>
      <c r="E57" s="276" t="n">
        <v>20</v>
      </c>
      <c r="F57" s="328" t="n">
        <v>5</v>
      </c>
      <c r="G57" s="328" t="n">
        <v>4</v>
      </c>
      <c r="H57" s="328" t="n">
        <v>4</v>
      </c>
      <c r="I57" s="288">
        <f>IFERROR(ROUND(AVERAGE(Tabel26404142[[#This Row],[Demonteerbaarheid]],Tabel26404142[[#This Row],[Materiaalconditie ]],Tabel26404142[[#This Row],[Marktpotentie ]])/5,2),0)</f>
        <v/>
      </c>
      <c r="J57" s="287">
        <f>IF(Tabel26404142[[#This Row],[PRR]]="","Handmatig beoordelen",IF(Tabel26404142[[#This Row],[PRR]]&gt;=0.7,"Hergebruik &gt; recycling",IF(Tabel26404142[[#This Row],[PRR]]&gt;=0.25,"Recycling","Handmatig beoordelen")))</f>
        <v/>
      </c>
      <c r="K57" s="287">
        <f>IF(Tabel26404142[[#This Row],[Routeadvies]]="Hergebruik","Niet standaard toegepast",IF(Tabel26404142[[#This Row],[Routeadvies]]="Hergebruik &gt; recycling","&gt;= 0,7",IF(Tabel26404142[[#This Row],[Routeadvies]]="Recycling","&gt;= 0,25 en &lt; 0,7",IF(Tabel26404142[[#This Row],[Routeadvies]]="Handmatig beoordelen","&lt; 0,25 of geen score",""))))</f>
        <v/>
      </c>
      <c r="L57" s="287">
        <f>IF($B57="Totaal","Totaal",IF(OR($B57="Installaties",$B57="Technische ruimte",$B57="Verdeelkast",$B57="Meterkast",$B57="Bliksemafleiding",$B57="Leidingnetten"),"Bijzonder koper",IF($G57="","Handmatig beoordelen",IF($G57&gt;=4,"Rood koper",IF($G57&gt;=3,"Knip koper",IF($G57&gt;0,"Geel koper / Messing","Kabels inclusief isolatie"))))))</f>
        <v/>
      </c>
      <c r="M57" s="299">
        <f>IFERROR(Tabel26404142[[#This Row],[BIM-volume m³]]*Koper!$N$3+Tabel26404142[[#This Row],[BIM-volume m³]]*Tabel26404142[[#This Row],[Transport Impact]]*IF(Tabel26404142[[#This Row],[Transportafstand (km)]]="",0,Tabel26404142[[#This Row],[Transportafstand (km)]])/1000,0)</f>
        <v/>
      </c>
      <c r="N57" s="299">
        <f>IFERROR(Tabel26404142[[#This Row],[BIM-volume m³]]*Koper!$O$3+Tabel26404142[[#This Row],[BIM-volume m³]]*Tabel26404142[[#This Row],[Transport Impact]]*IF(Tabel26404142[[#This Row],[Transportafstand (km)]]="",0,Tabel26404142[[#This Row],[Transportafstand (km)]])/1000,0)</f>
        <v/>
      </c>
      <c r="O57" s="299">
        <f>IFERROR(Tabel26404142[[#This Row],[BIM-volume m³]]*Koper!$P$3+Tabel26404142[[#This Row],[BIM-volume m³]]*Tabel26404142[[#This Row],[Transport Impact]]*IF(Tabel26404142[[#This Row],[Transportafstand (km)]]="",0,Tabel26404142[[#This Row],[Transportafstand (km)]])/1000,0)</f>
        <v/>
      </c>
      <c r="P57" s="290">
        <f>IF($B64="Totaal",SUM($O$4:$O$12),IFERROR(MAX(0,$M57-MIN($N57,$O57)),0))</f>
        <v/>
      </c>
      <c r="Q57" s="291">
        <f>IF(OR($M57="",$M57=0),"Geen beoordeling",IF(AND($N57=0,$O57=0),"Geen beoordeling",IF($N57&lt;$O57,"Hergebruik",IF($O57&lt;$N57,"Recycling","Hergebruik en recycling gelijk"))))</f>
        <v/>
      </c>
      <c r="R57" s="286">
        <f>IFERROR(Tabel26404142[[#This Row],[BIM-volume m³]]*Tabel26404142[[#This Row],[PRR]],0)</f>
        <v/>
      </c>
      <c r="S57" s="393">
        <f>IFERROR(VLOOKUP(Tabel26404142[[#This Row],[Klasse]],Koper!$B$11:$E$14,4,FALSE),0)</f>
        <v/>
      </c>
      <c r="T57" s="404">
        <f>Tabel26404142[[#This Row],[Praktisch terugwinbaar volume m³]]*Tabel26404142[[#This Row],[Verkoopprijs per m³]]</f>
        <v/>
      </c>
      <c r="U57" s="332">
        <f>IF(OR($L57="Handmatig beoordelen",$L57="",$L57="Totaal",$I57=""),"Handmatig",IF($I57&gt;=50%,"Ja","Nee"))</f>
        <v/>
      </c>
      <c r="V57" s="287">
        <f>IF(OR($L57="Handmatig beoordelen",$L57="",$L57="Totaal",$Q57=""),"Handmatig",IF(OR($Q57="Hergebruik",$Q57="Recycling",$Q57="Hergebruik en recycling",$Q57="Hergebruik en recycling gelijk"),"Ja","Nee"))</f>
        <v/>
      </c>
      <c r="W57" s="287">
        <f>IF(OR($L57="Handmatig beoordelen",$L57="",$L57="Totaal"),"Handmatig",IF($T57&gt;0,"Ja","Nee"))</f>
        <v/>
      </c>
      <c r="X57" s="333">
        <f>IF(OR($U57="Handmatig",$V57="Handmatig",$W57="Handmatig"),"Handmatig beoordelen",IF(COUNTIF($U57:$W57,"Ja")&gt;=2,"Interessant",IF(COUNTIF($U57:$W57,"Ja")=1,"Eigen beoordeling","Niet interessant")))</f>
        <v/>
      </c>
      <c r="Y57" s="301" t="n"/>
      <c r="Z57" s="301" t="n"/>
      <c r="AA57" s="301" t="n"/>
      <c r="AB57" s="301" t="n"/>
      <c r="AC57" s="301" t="n"/>
      <c r="AD57" s="301" t="n"/>
      <c r="AE57" s="301" t="n"/>
      <c r="AF57" s="301" t="n"/>
      <c r="AG57" s="301" t="n"/>
      <c r="AH57" s="301" t="n"/>
      <c r="AI57" s="301" t="n"/>
      <c r="AJ57" s="301" t="n"/>
      <c r="AK57" s="301" t="n"/>
      <c r="AL57" s="301" t="n"/>
    </row>
    <row r="58">
      <c r="A58" s="337" t="inlineStr">
        <is>
          <t>Koper</t>
        </is>
      </c>
      <c r="B58" s="285" t="inlineStr">
        <is>
          <t>Wanden</t>
        </is>
      </c>
      <c r="C58" s="275">
        <f>'Koper-data'!B9</f>
        <v/>
      </c>
      <c r="D58" s="277" t="n">
        <v>4</v>
      </c>
      <c r="E58" s="276" t="n">
        <v>20</v>
      </c>
      <c r="F58" s="328" t="n">
        <v>1</v>
      </c>
      <c r="G58" s="328" t="n">
        <v>4</v>
      </c>
      <c r="H58" s="328" t="n">
        <v>5</v>
      </c>
      <c r="I58" s="288">
        <f>IFERROR(ROUND(AVERAGE(Tabel26404142[[#This Row],[Demonteerbaarheid]],Tabel26404142[[#This Row],[Materiaalconditie ]],Tabel26404142[[#This Row],[Marktpotentie ]])/5,2),0)</f>
        <v/>
      </c>
      <c r="J58" s="287">
        <f>IF(Tabel26404142[[#This Row],[PRR]]="","Handmatig beoordelen",IF(Tabel26404142[[#This Row],[PRR]]&gt;=0.7,"Hergebruik &gt; recycling",IF(Tabel26404142[[#This Row],[PRR]]&gt;=0.25,"Recycling","Handmatig beoordelen")))</f>
        <v/>
      </c>
      <c r="K58" s="287">
        <f>IF(Tabel26404142[[#This Row],[Routeadvies]]="Hergebruik","Niet standaard toegepast",IF(Tabel26404142[[#This Row],[Routeadvies]]="Hergebruik &gt; recycling","&gt;= 0,7",IF(Tabel26404142[[#This Row],[Routeadvies]]="Recycling","&gt;= 0,25 en &lt; 0,7",IF(Tabel26404142[[#This Row],[Routeadvies]]="Handmatig beoordelen","&lt; 0,25 of geen score",""))))</f>
        <v/>
      </c>
      <c r="L58" s="287">
        <f>IF($B58="Totaal","Totaal",IF(OR($B58="Installaties",$B58="Technische ruimte",$B58="Verdeelkast",$B58="Meterkast",$B58="Bliksemafleiding",$B58="Leidingnetten"),"Bijzonder koper",IF($G58="","Handmatig beoordelen",IF($G58&gt;=4,"Rood koper",IF($G58&gt;=3,"Knip koper",IF($G58&gt;0,"Geel koper / Messing","Kabels inclusief isolatie"))))))</f>
        <v/>
      </c>
      <c r="M58" s="299">
        <f>IFERROR(Tabel26404142[[#This Row],[BIM-volume m³]]*Koper!$N$3+Tabel26404142[[#This Row],[BIM-volume m³]]*Tabel26404142[[#This Row],[Transport Impact]]*IF(Tabel26404142[[#This Row],[Transportafstand (km)]]="",0,Tabel26404142[[#This Row],[Transportafstand (km)]])/1000,0)</f>
        <v/>
      </c>
      <c r="N58" s="299">
        <f>IFERROR(Tabel26404142[[#This Row],[BIM-volume m³]]*Koper!$O$3+Tabel26404142[[#This Row],[BIM-volume m³]]*Tabel26404142[[#This Row],[Transport Impact]]*IF(Tabel26404142[[#This Row],[Transportafstand (km)]]="",0,Tabel26404142[[#This Row],[Transportafstand (km)]])/1000,0)</f>
        <v/>
      </c>
      <c r="O58" s="299">
        <f>IFERROR(Tabel26404142[[#This Row],[BIM-volume m³]]*Koper!$P$3+Tabel26404142[[#This Row],[BIM-volume m³]]*Tabel26404142[[#This Row],[Transport Impact]]*IF(Tabel26404142[[#This Row],[Transportafstand (km)]]="",0,Tabel26404142[[#This Row],[Transportafstand (km)]])/1000,0)</f>
        <v/>
      </c>
      <c r="P58" s="290">
        <f>IF($B65="Totaal",SUM($O$4:$O$12),IFERROR(MAX(0,$M58-MIN($N58,$O58)),0))</f>
        <v/>
      </c>
      <c r="Q58" s="291">
        <f>IF(OR($M58="",$M58=0),"Geen beoordeling",IF(AND($N58=0,$O58=0),"Geen beoordeling",IF($N58&lt;$O58,"Hergebruik",IF($O58&lt;$N58,"Recycling","Hergebruik en recycling gelijk"))))</f>
        <v/>
      </c>
      <c r="R58" s="286">
        <f>IFERROR(Tabel26404142[[#This Row],[BIM-volume m³]]*Tabel26404142[[#This Row],[PRR]],0)</f>
        <v/>
      </c>
      <c r="S58" s="393">
        <f>IFERROR(VLOOKUP(Tabel26404142[[#This Row],[Klasse]],Koper!$B$11:$E$14,4,FALSE),0)</f>
        <v/>
      </c>
      <c r="T58" s="404">
        <f>Tabel26404142[[#This Row],[Praktisch terugwinbaar volume m³]]*Tabel26404142[[#This Row],[Verkoopprijs per m³]]</f>
        <v/>
      </c>
      <c r="U58" s="332">
        <f>IF(OR($L58="Handmatig beoordelen",$L58="",$L58="Totaal",$I58=""),"Handmatig",IF($I58&gt;=50%,"Ja","Nee"))</f>
        <v/>
      </c>
      <c r="V58" s="287">
        <f>IF(OR($L58="Handmatig beoordelen",$L58="",$L58="Totaal",$Q58=""),"Handmatig",IF(OR($Q58="Hergebruik",$Q58="Recycling",$Q58="Hergebruik en recycling",$Q58="Hergebruik en recycling gelijk"),"Ja","Nee"))</f>
        <v/>
      </c>
      <c r="W58" s="287">
        <f>IF(OR($L58="Handmatig beoordelen",$L58="",$L58="Totaal"),"Handmatig",IF($T58&gt;0,"Ja","Nee"))</f>
        <v/>
      </c>
      <c r="X58" s="333">
        <f>IF(OR($U58="Handmatig",$V58="Handmatig",$W58="Handmatig"),"Handmatig beoordelen",IF(COUNTIF($U58:$W58,"Ja")&gt;=2,"Interessant",IF(COUNTIF($U58:$W58,"Ja")=1,"Eigen beoordeling","Niet interessant")))</f>
        <v/>
      </c>
      <c r="Y58" s="301" t="n"/>
      <c r="Z58" s="301" t="n"/>
      <c r="AA58" s="301" t="n"/>
      <c r="AB58" s="301" t="n"/>
      <c r="AC58" s="301" t="n"/>
      <c r="AD58" s="301" t="n"/>
      <c r="AE58" s="301" t="n"/>
      <c r="AF58" s="301" t="n"/>
      <c r="AG58" s="301" t="n"/>
      <c r="AH58" s="301" t="n"/>
      <c r="AI58" s="301" t="n"/>
      <c r="AJ58" s="301" t="n"/>
      <c r="AK58" s="301" t="n"/>
      <c r="AL58" s="301" t="n"/>
    </row>
    <row r="59">
      <c r="A59" s="337" t="inlineStr">
        <is>
          <t>Koper</t>
        </is>
      </c>
      <c r="B59" s="285" t="inlineStr">
        <is>
          <t>Ramen</t>
        </is>
      </c>
      <c r="C59" s="275">
        <f>'Koper-data'!B10</f>
        <v/>
      </c>
      <c r="D59" s="277" t="n">
        <v>4</v>
      </c>
      <c r="E59" s="276" t="n">
        <v>20</v>
      </c>
      <c r="F59" s="328" t="n">
        <v>5</v>
      </c>
      <c r="G59" s="328" t="n">
        <v>3</v>
      </c>
      <c r="H59" s="328" t="n">
        <v>4</v>
      </c>
      <c r="I59" s="288">
        <f>IFERROR(ROUND(AVERAGE(Tabel26404142[[#This Row],[Demonteerbaarheid]],Tabel26404142[[#This Row],[Materiaalconditie ]],Tabel26404142[[#This Row],[Marktpotentie ]])/5,2),0)</f>
        <v/>
      </c>
      <c r="J59" s="287">
        <f>IF(Tabel26404142[[#This Row],[PRR]]="","Handmatig beoordelen",IF(Tabel26404142[[#This Row],[PRR]]&gt;=0.7,"Hergebruik &gt; recycling",IF(Tabel26404142[[#This Row],[PRR]]&gt;=0.25,"Recycling","Handmatig beoordelen")))</f>
        <v/>
      </c>
      <c r="K59" s="287">
        <f>IF(Tabel26404142[[#This Row],[Routeadvies]]="Hergebruik","Niet standaard toegepast",IF(Tabel26404142[[#This Row],[Routeadvies]]="Hergebruik &gt; recycling","&gt;= 0,7",IF(Tabel26404142[[#This Row],[Routeadvies]]="Recycling","&gt;= 0,25 en &lt; 0,7",IF(Tabel26404142[[#This Row],[Routeadvies]]="Handmatig beoordelen","&lt; 0,25 of geen score",""))))</f>
        <v/>
      </c>
      <c r="L59" s="287">
        <f>IF($B59="Totaal","Totaal",IF(OR($B59="Installaties",$B59="Technische ruimte",$B59="Verdeelkast",$B59="Meterkast",$B59="Bliksemafleiding",$B59="Leidingnetten"),"Bijzonder koper",IF($G59="","Handmatig beoordelen",IF($G59&gt;=4,"Rood koper",IF($G59&gt;=3,"Knip koper",IF($G59&gt;0,"Geel koper / Messing","Kabels inclusief isolatie"))))))</f>
        <v/>
      </c>
      <c r="M59" s="299">
        <f>IFERROR(Tabel26404142[[#This Row],[BIM-volume m³]]*Koper!$N$3+Tabel26404142[[#This Row],[BIM-volume m³]]*Tabel26404142[[#This Row],[Transport Impact]]*IF(Tabel26404142[[#This Row],[Transportafstand (km)]]="",0,Tabel26404142[[#This Row],[Transportafstand (km)]])/1000,0)</f>
        <v/>
      </c>
      <c r="N59" s="299">
        <f>IFERROR(Tabel26404142[[#This Row],[BIM-volume m³]]*Koper!$O$3+Tabel26404142[[#This Row],[BIM-volume m³]]*Tabel26404142[[#This Row],[Transport Impact]]*IF(Tabel26404142[[#This Row],[Transportafstand (km)]]="",0,Tabel26404142[[#This Row],[Transportafstand (km)]])/1000,0)</f>
        <v/>
      </c>
      <c r="O59" s="299">
        <f>IFERROR(Tabel26404142[[#This Row],[BIM-volume m³]]*Koper!$P$3+Tabel26404142[[#This Row],[BIM-volume m³]]*Tabel26404142[[#This Row],[Transport Impact]]*IF(Tabel26404142[[#This Row],[Transportafstand (km)]]="",0,Tabel26404142[[#This Row],[Transportafstand (km)]])/1000,0)</f>
        <v/>
      </c>
      <c r="P59" s="290">
        <f>IF($B66="Totaal",SUM($O$4:$O$12),IFERROR(MAX(0,$M59-MIN($N59,$O59)),0))</f>
        <v/>
      </c>
      <c r="Q59" s="291">
        <f>IF(OR($M59="",$M59=0),"Geen beoordeling",IF(AND($N59=0,$O59=0),"Geen beoordeling",IF($N59&lt;$O59,"Hergebruik",IF($O59&lt;$N59,"Recycling","Hergebruik en recycling gelijk"))))</f>
        <v/>
      </c>
      <c r="R59" s="286">
        <f>IFERROR(Tabel26404142[[#This Row],[BIM-volume m³]]*Tabel26404142[[#This Row],[PRR]],0)</f>
        <v/>
      </c>
      <c r="S59" s="393">
        <f>IFERROR(VLOOKUP(Tabel26404142[[#This Row],[Klasse]],Koper!$B$11:$E$14,4,FALSE),0)</f>
        <v/>
      </c>
      <c r="T59" s="404">
        <f>Tabel26404142[[#This Row],[Praktisch terugwinbaar volume m³]]*Tabel26404142[[#This Row],[Verkoopprijs per m³]]</f>
        <v/>
      </c>
      <c r="U59" s="332">
        <f>IF(OR($L59="Handmatig beoordelen",$L59="",$L59="Totaal",$I59=""),"Handmatig",IF($I59&gt;=50%,"Ja","Nee"))</f>
        <v/>
      </c>
      <c r="V59" s="287">
        <f>IF(OR($L59="Handmatig beoordelen",$L59="",$L59="Totaal",$Q59=""),"Handmatig",IF(OR($Q59="Hergebruik",$Q59="Recycling",$Q59="Hergebruik en recycling",$Q59="Hergebruik en recycling gelijk"),"Ja","Nee"))</f>
        <v/>
      </c>
      <c r="W59" s="287">
        <f>IF(OR($L59="Handmatig beoordelen",$L59="",$L59="Totaal"),"Handmatig",IF($T59&gt;0,"Ja","Nee"))</f>
        <v/>
      </c>
      <c r="X59" s="333">
        <f>IF(OR($U59="Handmatig",$V59="Handmatig",$W59="Handmatig"),"Handmatig beoordelen",IF(COUNTIF($U59:$W59,"Ja")&gt;=2,"Interessant",IF(COUNTIF($U59:$W59,"Ja")=1,"Eigen beoordeling","Niet interessant")))</f>
        <v/>
      </c>
      <c r="Y59" s="301" t="n"/>
      <c r="Z59" s="301" t="n"/>
      <c r="AA59" s="301" t="n"/>
      <c r="AB59" s="301" t="n"/>
      <c r="AC59" s="301" t="n"/>
      <c r="AD59" s="301" t="n"/>
      <c r="AE59" s="301" t="n"/>
      <c r="AF59" s="301" t="n"/>
      <c r="AG59" s="301" t="n"/>
      <c r="AH59" s="301" t="n"/>
      <c r="AI59" s="301" t="n"/>
      <c r="AJ59" s="301" t="n"/>
      <c r="AK59" s="301" t="n"/>
      <c r="AL59" s="301" t="n"/>
    </row>
    <row r="60">
      <c r="A60" s="337" t="inlineStr">
        <is>
          <t>Koper</t>
        </is>
      </c>
      <c r="B60" s="340" t="inlineStr">
        <is>
          <t>Trappen</t>
        </is>
      </c>
      <c r="C60" s="275">
        <f>'Koper-data'!B11</f>
        <v/>
      </c>
      <c r="D60" s="277" t="n">
        <v>4</v>
      </c>
      <c r="E60" s="276" t="n">
        <v>20</v>
      </c>
      <c r="F60" s="329" t="n">
        <v>5</v>
      </c>
      <c r="G60" s="329" t="n">
        <v>4</v>
      </c>
      <c r="H60" s="329" t="n">
        <v>5</v>
      </c>
      <c r="I60" s="341">
        <f>IFERROR(ROUND(AVERAGE(Tabel26404142[[#This Row],[Demonteerbaarheid]],Tabel26404142[[#This Row],[Materiaalconditie ]],Tabel26404142[[#This Row],[Marktpotentie ]])/5,2),0)</f>
        <v/>
      </c>
      <c r="J60" s="287">
        <f>IF(Tabel26404142[[#This Row],[PRR]]="","Handmatig beoordelen",IF(Tabel26404142[[#This Row],[PRR]]&gt;=0.7,"Hergebruik &gt; recycling",IF(Tabel26404142[[#This Row],[PRR]]&gt;=0.25,"Recycling","Handmatig beoordelen")))</f>
        <v/>
      </c>
      <c r="K60" s="287">
        <f>IF(Tabel26404142[[#This Row],[Routeadvies]]="Hergebruik","Niet standaard toegepast",IF(Tabel26404142[[#This Row],[Routeadvies]]="Hergebruik &gt; recycling","&gt;= 0,7",IF(Tabel26404142[[#This Row],[Routeadvies]]="Recycling","&gt;= 0,25 en &lt; 0,7",IF(Tabel26404142[[#This Row],[Routeadvies]]="Handmatig beoordelen","&lt; 0,25 of geen score",""))))</f>
        <v/>
      </c>
      <c r="L60" s="287">
        <f>IF($B60="Totaal","Totaal",IF(OR($B60="Installaties",$B60="Technische ruimte",$B60="Verdeelkast",$B60="Meterkast",$B60="Bliksemafleiding",$B60="Leidingnetten"),"Bijzonder koper",IF($G60="","Handmatig beoordelen",IF($G60&gt;=4,"Rood koper",IF($G60&gt;=3,"Knip koper",IF($G60&gt;0,"Geel koper / Messing","Kabels inclusief isolatie"))))))</f>
        <v/>
      </c>
      <c r="M60" s="299">
        <f>IFERROR(Tabel26404142[[#This Row],[BIM-volume m³]]*Koper!$N$3+Tabel26404142[[#This Row],[BIM-volume m³]]*Tabel26404142[[#This Row],[Transport Impact]]*IF(Tabel26404142[[#This Row],[Transportafstand (km)]]="",0,Tabel26404142[[#This Row],[Transportafstand (km)]])/1000,0)</f>
        <v/>
      </c>
      <c r="N60" s="299">
        <f>IFERROR(Tabel26404142[[#This Row],[BIM-volume m³]]*Koper!$O$3+Tabel26404142[[#This Row],[BIM-volume m³]]*Tabel26404142[[#This Row],[Transport Impact]]*IF(Tabel26404142[[#This Row],[Transportafstand (km)]]="",0,Tabel26404142[[#This Row],[Transportafstand (km)]])/1000,0)</f>
        <v/>
      </c>
      <c r="O60" s="299">
        <f>IFERROR(Tabel26404142[[#This Row],[BIM-volume m³]]*Koper!$P$3+Tabel26404142[[#This Row],[BIM-volume m³]]*Tabel26404142[[#This Row],[Transport Impact]]*IF(Tabel26404142[[#This Row],[Transportafstand (km)]]="",0,Tabel26404142[[#This Row],[Transportafstand (km)]])/1000,0)</f>
        <v/>
      </c>
      <c r="P60" s="290">
        <f>IF($B67="Totaal",SUM($O$4:$O$12),IFERROR(MAX(0,$M60-MIN($N60,$O60)),0))</f>
        <v/>
      </c>
      <c r="Q60" s="342">
        <f>IF(OR($M60="",$M60=0),"Geen beoordeling",IF(AND($N60=0,$O60=0),"Geen beoordeling",IF($N60&lt;$O60,"Hergebruik",IF($O60&lt;$N60,"Recycling","Hergebruik en recycling gelijk"))))</f>
        <v/>
      </c>
      <c r="R60" s="286">
        <f>IFERROR(Tabel26404142[[#This Row],[BIM-volume m³]]*Tabel26404142[[#This Row],[PRR]],0)</f>
        <v/>
      </c>
      <c r="S60" s="393">
        <f>IFERROR(VLOOKUP(Tabel26404142[[#This Row],[Klasse]],Koper!$B$11:$E$14,4,FALSE),0)</f>
        <v/>
      </c>
      <c r="T60" s="404">
        <f>Tabel26404142[[#This Row],[Praktisch terugwinbaar volume m³]]*Tabel26404142[[#This Row],[Verkoopprijs per m³]]</f>
        <v/>
      </c>
      <c r="U60" s="332">
        <f>IF(OR($L60="Handmatig beoordelen",$L60="",$L60="Totaal",$I60=""),"Handmatig",IF($I60&gt;=50%,"Ja","Nee"))</f>
        <v/>
      </c>
      <c r="V60" s="287">
        <f>IF(OR($L60="Handmatig beoordelen",$L60="",$L60="Totaal",$Q60=""),"Handmatig",IF(OR($Q60="Hergebruik",$Q60="Recycling",$Q60="Hergebruik en recycling",$Q60="Hergebruik en recycling gelijk"),"Ja","Nee"))</f>
        <v/>
      </c>
      <c r="W60" s="287">
        <f>IF(OR($L60="Handmatig beoordelen",$L60="",$L60="Totaal"),"Handmatig",IF($T60&gt;0,"Ja","Nee"))</f>
        <v/>
      </c>
      <c r="X60" s="333">
        <f>IF(OR($U60="Handmatig",$V60="Handmatig",$W60="Handmatig"),"Handmatig beoordelen",IF(COUNTIF($U60:$W60,"Ja")&gt;=2,"Interessant",IF(COUNTIF($U60:$W60,"Ja")=1,"Eigen beoordeling","Niet interessant")))</f>
        <v/>
      </c>
      <c r="Y60" s="301" t="n"/>
      <c r="Z60" s="301" t="n"/>
      <c r="AA60" s="301" t="n"/>
      <c r="AB60" s="301" t="n"/>
      <c r="AC60" s="301" t="n"/>
      <c r="AD60" s="301" t="n"/>
      <c r="AE60" s="301" t="n"/>
      <c r="AF60" s="301" t="n"/>
      <c r="AG60" s="301" t="n"/>
    </row>
    <row r="61">
      <c r="A61" s="301" t="n"/>
      <c r="B61" s="301" t="n"/>
      <c r="C61" s="301" t="n"/>
      <c r="D61" s="301" t="n"/>
      <c r="E61" s="301" t="n"/>
      <c r="F61" s="301" t="n"/>
      <c r="G61" s="301" t="n"/>
      <c r="H61" s="301" t="n"/>
      <c r="I61" s="301" t="n"/>
      <c r="J61" s="301" t="n"/>
      <c r="K61" s="301" t="n"/>
      <c r="L61" s="301" t="n"/>
      <c r="M61" s="301" t="n"/>
      <c r="N61" s="301" t="n"/>
      <c r="O61" s="301" t="n"/>
      <c r="P61" s="301" t="n"/>
      <c r="Q61" s="301" t="n"/>
      <c r="R61" s="301" t="n"/>
      <c r="S61" s="301" t="n"/>
      <c r="T61" s="301" t="n"/>
      <c r="U61" s="301" t="n"/>
      <c r="V61" s="301" t="n"/>
      <c r="W61" s="301" t="n"/>
      <c r="X61" s="301" t="n"/>
      <c r="Y61" s="301" t="n"/>
      <c r="Z61" s="301" t="n"/>
      <c r="AA61" s="301" t="n"/>
      <c r="AB61" s="301" t="n"/>
      <c r="AC61" s="301" t="n"/>
      <c r="AD61" s="301" t="n"/>
      <c r="AE61" s="301" t="n"/>
      <c r="AF61" s="301" t="n"/>
      <c r="AG61" s="301" t="n"/>
    </row>
    <row r="62">
      <c r="A62" s="301" t="n"/>
      <c r="B62" s="301" t="n"/>
      <c r="C62" s="301" t="n"/>
      <c r="D62" s="301" t="n"/>
      <c r="E62" s="301" t="n"/>
      <c r="F62" s="301" t="n"/>
      <c r="G62" s="301" t="n"/>
      <c r="H62" s="301" t="n"/>
      <c r="I62" s="301" t="n"/>
      <c r="J62" s="301" t="n"/>
      <c r="K62" s="301" t="n"/>
      <c r="L62" s="301" t="n"/>
      <c r="M62" s="301" t="n"/>
      <c r="N62" s="301" t="n"/>
      <c r="O62" s="301" t="n"/>
      <c r="P62" s="301" t="n"/>
      <c r="Q62" s="301" t="n"/>
      <c r="R62" s="301" t="n"/>
      <c r="S62" s="301" t="n"/>
      <c r="T62" s="301" t="n"/>
      <c r="U62" s="301" t="n"/>
      <c r="V62" s="301" t="n"/>
      <c r="W62" s="301" t="n"/>
      <c r="X62" s="301" t="n"/>
      <c r="Y62" s="301" t="n"/>
      <c r="Z62" s="301" t="n"/>
      <c r="AA62" s="301" t="n"/>
      <c r="AB62" s="301" t="n"/>
      <c r="AC62" s="301" t="n"/>
      <c r="AD62" s="301" t="n"/>
      <c r="AE62" s="301" t="n"/>
      <c r="AF62" s="301" t="n"/>
      <c r="AG62" s="301" t="n"/>
    </row>
    <row r="63">
      <c r="A63" s="301" t="n"/>
      <c r="B63" s="301" t="n"/>
      <c r="C63" s="301" t="n"/>
      <c r="D63" s="301" t="n"/>
      <c r="E63" s="301" t="n"/>
      <c r="F63" s="301" t="n"/>
      <c r="G63" s="301" t="n"/>
      <c r="H63" s="301" t="n"/>
      <c r="I63" s="301" t="n"/>
      <c r="J63" s="301" t="n"/>
      <c r="K63" s="301" t="n"/>
      <c r="L63" s="301" t="n"/>
      <c r="M63" s="301" t="n"/>
      <c r="N63" s="301" t="n"/>
      <c r="O63" s="301" t="n"/>
      <c r="P63" s="301" t="n"/>
      <c r="Q63" s="301" t="n"/>
      <c r="R63" s="301" t="n"/>
      <c r="S63" s="301" t="n"/>
      <c r="T63" s="301" t="n"/>
      <c r="U63" s="301" t="n"/>
      <c r="V63" s="301" t="n"/>
      <c r="W63" s="301" t="n"/>
      <c r="X63" s="301" t="n"/>
      <c r="Y63" s="301" t="n"/>
      <c r="Z63" s="301" t="n"/>
      <c r="AA63" s="301" t="n"/>
      <c r="AB63" s="301" t="n"/>
      <c r="AC63" s="301" t="n"/>
      <c r="AD63" s="301" t="n"/>
      <c r="AE63" s="301" t="n"/>
      <c r="AF63" s="301" t="n"/>
      <c r="AG63" s="301" t="n"/>
    </row>
    <row r="64">
      <c r="A64" s="301" t="n"/>
      <c r="B64" s="301" t="n"/>
      <c r="C64" s="301" t="n"/>
      <c r="D64" s="301" t="n"/>
      <c r="E64" s="301" t="n"/>
      <c r="F64" s="301" t="n"/>
      <c r="G64" s="301" t="n"/>
      <c r="H64" s="301" t="n"/>
      <c r="I64" s="301" t="n"/>
      <c r="J64" s="301" t="n"/>
      <c r="K64" s="301" t="n"/>
      <c r="L64" s="301" t="n"/>
      <c r="M64" s="301" t="n"/>
      <c r="N64" s="301" t="n"/>
      <c r="O64" s="301" t="n"/>
      <c r="P64" s="301" t="n"/>
      <c r="Q64" s="301" t="n"/>
      <c r="R64" s="301" t="n"/>
      <c r="S64" s="301" t="n"/>
      <c r="T64" s="301" t="n"/>
      <c r="U64" s="301" t="n"/>
      <c r="V64" s="301" t="n"/>
      <c r="W64" s="301" t="n"/>
      <c r="X64" s="301" t="n"/>
      <c r="Y64" s="301" t="n"/>
      <c r="Z64" s="301" t="n"/>
      <c r="AA64" s="301" t="n"/>
      <c r="AB64" s="301" t="n"/>
      <c r="AC64" s="301" t="n"/>
      <c r="AD64" s="301" t="n"/>
      <c r="AE64" s="301" t="n"/>
      <c r="AF64" s="301" t="n"/>
      <c r="AG64" s="301" t="n"/>
    </row>
    <row r="65">
      <c r="A65" s="301" t="n"/>
      <c r="B65" s="301" t="n"/>
      <c r="C65" s="301" t="n"/>
      <c r="D65" s="301" t="n"/>
      <c r="E65" s="301" t="n"/>
      <c r="F65" s="301" t="n"/>
      <c r="G65" s="301" t="n"/>
      <c r="H65" s="301" t="n"/>
      <c r="I65" s="301" t="n"/>
      <c r="J65" s="301" t="n"/>
      <c r="K65" s="301" t="n"/>
      <c r="L65" s="301" t="n"/>
      <c r="M65" s="301" t="n"/>
      <c r="N65" s="301" t="n"/>
      <c r="O65" s="301" t="n"/>
      <c r="P65" s="301" t="n"/>
      <c r="Q65" s="301" t="n"/>
      <c r="R65" s="301" t="n"/>
      <c r="S65" s="301" t="n"/>
      <c r="T65" s="301" t="n"/>
      <c r="U65" s="301" t="n"/>
      <c r="V65" s="301" t="n"/>
      <c r="W65" s="301" t="n"/>
      <c r="X65" s="301" t="n"/>
      <c r="Y65" s="301" t="n"/>
      <c r="Z65" s="301" t="n"/>
      <c r="AA65" s="301" t="n"/>
      <c r="AB65" s="301" t="n"/>
      <c r="AC65" s="301" t="n"/>
      <c r="AD65" s="301" t="n"/>
      <c r="AE65" s="301" t="n"/>
      <c r="AF65" s="301" t="n"/>
      <c r="AG65" s="301" t="n"/>
    </row>
    <row r="66">
      <c r="A66" s="301" t="n"/>
      <c r="B66" s="301" t="n"/>
      <c r="C66" s="301" t="n"/>
      <c r="D66" s="301" t="n"/>
      <c r="E66" s="301" t="n"/>
      <c r="F66" s="301" t="n"/>
      <c r="G66" s="301" t="n"/>
      <c r="H66" s="301" t="n"/>
      <c r="I66" s="301" t="n"/>
      <c r="J66" s="301" t="n"/>
      <c r="K66" s="301" t="n"/>
      <c r="L66" s="301" t="n"/>
      <c r="M66" s="301" t="n"/>
      <c r="N66" s="301" t="n"/>
      <c r="O66" s="301" t="n"/>
      <c r="P66" s="301" t="n"/>
      <c r="Q66" s="301" t="n"/>
      <c r="R66" s="301" t="n"/>
      <c r="S66" s="301" t="n"/>
      <c r="T66" s="301" t="n"/>
      <c r="U66" s="301" t="n"/>
      <c r="V66" s="301" t="n"/>
      <c r="W66" s="301" t="n"/>
      <c r="X66" s="301" t="n"/>
      <c r="Y66" s="301" t="n"/>
      <c r="Z66" s="301" t="n"/>
      <c r="AA66" s="301" t="n"/>
      <c r="AB66" s="301" t="n"/>
      <c r="AC66" s="301" t="n"/>
      <c r="AD66" s="301" t="n"/>
      <c r="AE66" s="301" t="n"/>
      <c r="AF66" s="301" t="n"/>
      <c r="AG66" s="301" t="n"/>
    </row>
    <row r="67">
      <c r="A67" s="301" t="n"/>
      <c r="B67" s="301" t="n"/>
      <c r="C67" s="301" t="n"/>
      <c r="D67" s="301" t="n"/>
      <c r="E67" s="301" t="n"/>
      <c r="F67" s="301" t="n"/>
      <c r="G67" s="301" t="n"/>
      <c r="H67" s="301" t="n"/>
      <c r="I67" s="301" t="n"/>
      <c r="J67" s="301" t="n"/>
      <c r="K67" s="301" t="n"/>
      <c r="L67" s="301" t="n"/>
      <c r="M67" s="301" t="n"/>
      <c r="N67" s="301" t="n"/>
      <c r="O67" s="301" t="n"/>
      <c r="P67" s="301" t="n"/>
      <c r="Q67" s="301" t="n"/>
      <c r="R67" s="301" t="n"/>
      <c r="S67" s="301" t="n"/>
      <c r="T67" s="301" t="n"/>
      <c r="U67" s="301" t="n"/>
      <c r="V67" s="301" t="n"/>
      <c r="W67" s="301" t="n"/>
      <c r="X67" s="301" t="n"/>
      <c r="Y67" s="301" t="n"/>
      <c r="Z67" s="301" t="n"/>
      <c r="AA67" s="301" t="n"/>
      <c r="AB67" s="301" t="n"/>
      <c r="AC67" s="301" t="n"/>
      <c r="AD67" s="301" t="n"/>
      <c r="AE67" s="301" t="n"/>
      <c r="AF67" s="301" t="n"/>
      <c r="AG67" s="301" t="n"/>
    </row>
    <row r="68">
      <c r="A68" s="301" t="n"/>
      <c r="B68" s="301" t="n"/>
      <c r="C68" s="301" t="n"/>
      <c r="D68" s="301" t="n"/>
      <c r="E68" s="301" t="n"/>
      <c r="F68" s="301" t="n"/>
      <c r="G68" s="301" t="n"/>
      <c r="H68" s="301" t="n"/>
      <c r="I68" s="301" t="n"/>
      <c r="J68" s="301" t="n"/>
      <c r="K68" s="301" t="n"/>
      <c r="L68" s="301" t="n"/>
      <c r="M68" s="301" t="n"/>
      <c r="N68" s="301" t="n"/>
      <c r="O68" s="301" t="n"/>
      <c r="P68" s="301" t="n"/>
      <c r="Q68" s="301" t="n"/>
      <c r="R68" s="301" t="n"/>
      <c r="S68" s="301" t="n"/>
      <c r="T68" s="301" t="n"/>
      <c r="U68" s="301" t="n"/>
      <c r="V68" s="301" t="n"/>
      <c r="W68" s="301" t="n"/>
      <c r="X68" s="301" t="n"/>
      <c r="Y68" s="301" t="n"/>
      <c r="Z68" s="301" t="n"/>
      <c r="AA68" s="301" t="n"/>
      <c r="AB68" s="301" t="n"/>
      <c r="AC68" s="301" t="n"/>
      <c r="AD68" s="301" t="n"/>
      <c r="AE68" s="301" t="n"/>
      <c r="AF68" s="301" t="n"/>
      <c r="AG68" s="301" t="n"/>
    </row>
    <row r="69">
      <c r="A69" s="301" t="n"/>
      <c r="B69" s="301" t="n"/>
      <c r="C69" s="301" t="n"/>
      <c r="D69" s="301" t="n"/>
      <c r="E69" s="301" t="n"/>
      <c r="F69" s="301" t="n"/>
      <c r="G69" s="301" t="n"/>
      <c r="H69" s="301" t="n"/>
      <c r="I69" s="301" t="n"/>
      <c r="J69" s="301" t="n"/>
      <c r="K69" s="301" t="n"/>
      <c r="L69" s="301" t="n"/>
      <c r="M69" s="301" t="n"/>
      <c r="N69" s="301" t="n"/>
      <c r="O69" s="301" t="n"/>
      <c r="P69" s="301" t="n"/>
      <c r="Q69" s="301" t="n"/>
      <c r="R69" s="301" t="n"/>
      <c r="S69" s="301" t="n"/>
      <c r="T69" s="301" t="n"/>
      <c r="U69" s="301" t="n"/>
      <c r="V69" s="301" t="n"/>
      <c r="W69" s="301" t="n"/>
      <c r="X69" s="301" t="n"/>
      <c r="Y69" s="301" t="n"/>
      <c r="Z69" s="301" t="n"/>
      <c r="AA69" s="301" t="n"/>
      <c r="AB69" s="301" t="n"/>
      <c r="AC69" s="301" t="n"/>
      <c r="AD69" s="301" t="n"/>
      <c r="AE69" s="301" t="n"/>
      <c r="AF69" s="301" t="n"/>
      <c r="AG69" s="301" t="n"/>
    </row>
    <row r="70">
      <c r="A70" s="301" t="n"/>
      <c r="B70" s="301" t="n"/>
      <c r="C70" s="301" t="n"/>
      <c r="D70" s="301" t="n"/>
      <c r="E70" s="301" t="n"/>
      <c r="F70" s="301" t="n"/>
      <c r="G70" s="301" t="n"/>
      <c r="H70" s="301" t="n"/>
      <c r="I70" s="301" t="n"/>
      <c r="J70" s="301" t="n"/>
      <c r="K70" s="301" t="n"/>
      <c r="L70" s="301" t="n"/>
      <c r="M70" s="301" t="n"/>
      <c r="N70" s="301" t="n"/>
      <c r="O70" s="301" t="n"/>
      <c r="P70" s="301" t="n"/>
      <c r="Q70" s="301" t="n"/>
      <c r="R70" s="301" t="n"/>
      <c r="S70" s="301" t="n"/>
      <c r="T70" s="301" t="n"/>
      <c r="U70" s="301" t="n"/>
      <c r="V70" s="301" t="n"/>
      <c r="W70" s="301" t="n"/>
      <c r="X70" s="301" t="n"/>
      <c r="Y70" s="301" t="n"/>
      <c r="Z70" s="301" t="n"/>
      <c r="AA70" s="301" t="n"/>
      <c r="AB70" s="301" t="n"/>
      <c r="AC70" s="301" t="n"/>
      <c r="AD70" s="301" t="n"/>
      <c r="AE70" s="301" t="n"/>
      <c r="AF70" s="301" t="n"/>
      <c r="AG70" s="301" t="n"/>
    </row>
    <row r="71">
      <c r="A71" s="301" t="n"/>
      <c r="B71" s="301" t="n"/>
      <c r="C71" s="301" t="n"/>
      <c r="D71" s="301" t="n"/>
      <c r="E71" s="301" t="n"/>
      <c r="F71" s="301" t="n"/>
      <c r="G71" s="301" t="n"/>
      <c r="H71" s="301" t="n"/>
      <c r="I71" s="301" t="n"/>
      <c r="J71" s="301" t="n"/>
      <c r="K71" s="301" t="n"/>
      <c r="L71" s="301" t="n"/>
      <c r="M71" s="301" t="n"/>
      <c r="N71" s="301" t="n"/>
      <c r="O71" s="301" t="n"/>
      <c r="P71" s="301" t="n"/>
      <c r="Q71" s="301" t="n"/>
      <c r="R71" s="301" t="n"/>
      <c r="S71" s="301" t="n"/>
      <c r="T71" s="301" t="n"/>
      <c r="U71" s="301" t="n"/>
      <c r="V71" s="301" t="n"/>
      <c r="W71" s="301" t="n"/>
      <c r="X71" s="301" t="n"/>
      <c r="Y71" s="301" t="n"/>
      <c r="Z71" s="301" t="n"/>
      <c r="AA71" s="301" t="n"/>
      <c r="AB71" s="301" t="n"/>
      <c r="AC71" s="301" t="n"/>
      <c r="AD71" s="301" t="n"/>
      <c r="AE71" s="301" t="n"/>
      <c r="AF71" s="301" t="n"/>
      <c r="AG71" s="301" t="n"/>
    </row>
    <row r="72">
      <c r="A72" s="301" t="n"/>
      <c r="B72" s="301" t="n"/>
      <c r="C72" s="301" t="n"/>
      <c r="D72" s="301" t="n"/>
      <c r="E72" s="301" t="n"/>
      <c r="F72" s="301" t="n"/>
      <c r="G72" s="301" t="n"/>
      <c r="H72" s="301" t="n"/>
      <c r="I72" s="301" t="n"/>
      <c r="J72" s="301" t="n"/>
      <c r="K72" s="301" t="n"/>
      <c r="L72" s="301" t="n"/>
      <c r="M72" s="301" t="n"/>
      <c r="N72" s="301" t="n"/>
      <c r="O72" s="301" t="n"/>
      <c r="P72" s="301" t="n"/>
      <c r="Q72" s="301" t="n"/>
      <c r="R72" s="301" t="n"/>
      <c r="S72" s="301" t="n"/>
      <c r="T72" s="301" t="n"/>
      <c r="U72" s="301" t="n"/>
      <c r="V72" s="301" t="n"/>
      <c r="W72" s="301" t="n"/>
      <c r="X72" s="301" t="n"/>
      <c r="Y72" s="301" t="n"/>
      <c r="Z72" s="301" t="n"/>
      <c r="AA72" s="301" t="n"/>
      <c r="AB72" s="301" t="n"/>
      <c r="AC72" s="301" t="n"/>
      <c r="AD72" s="301" t="n"/>
      <c r="AE72" s="301" t="n"/>
      <c r="AF72" s="301" t="n"/>
      <c r="AG72" s="301" t="n"/>
    </row>
    <row r="73">
      <c r="A73" s="301" t="n"/>
      <c r="B73" s="301" t="n"/>
      <c r="C73" s="301" t="n"/>
      <c r="D73" s="301" t="n"/>
      <c r="E73" s="301" t="n"/>
      <c r="F73" s="301" t="n"/>
      <c r="G73" s="301" t="n"/>
      <c r="H73" s="301" t="n"/>
      <c r="I73" s="301" t="n"/>
      <c r="J73" s="301" t="n"/>
      <c r="K73" s="301" t="n"/>
      <c r="L73" s="301" t="n"/>
      <c r="M73" s="301" t="n"/>
      <c r="N73" s="301" t="n"/>
      <c r="O73" s="301" t="n"/>
      <c r="P73" s="301" t="n"/>
      <c r="Q73" s="301" t="n"/>
      <c r="R73" s="301" t="n"/>
      <c r="S73" s="301" t="n"/>
      <c r="T73" s="301" t="n"/>
      <c r="U73" s="301" t="n"/>
      <c r="V73" s="301" t="n"/>
      <c r="W73" s="301" t="n"/>
      <c r="X73" s="301" t="n"/>
      <c r="Y73" s="301" t="n"/>
      <c r="Z73" s="301" t="n"/>
      <c r="AA73" s="301" t="n"/>
      <c r="AB73" s="301" t="n"/>
      <c r="AC73" s="301" t="n"/>
      <c r="AD73" s="301" t="n"/>
      <c r="AE73" s="301" t="n"/>
      <c r="AF73" s="301" t="n"/>
      <c r="AG73" s="301" t="n"/>
    </row>
    <row r="74">
      <c r="A74" s="301" t="n"/>
      <c r="B74" s="301" t="n"/>
      <c r="C74" s="301" t="n"/>
      <c r="D74" s="301" t="n"/>
      <c r="E74" s="301" t="n"/>
      <c r="F74" s="301" t="n"/>
      <c r="G74" s="301" t="n"/>
      <c r="H74" s="301" t="n"/>
      <c r="I74" s="301" t="n"/>
      <c r="J74" s="301" t="n"/>
      <c r="K74" s="301" t="n"/>
      <c r="L74" s="301" t="n"/>
      <c r="M74" s="301" t="n"/>
      <c r="N74" s="301" t="n"/>
      <c r="O74" s="301" t="n"/>
      <c r="P74" s="301" t="n"/>
      <c r="Q74" s="301" t="n"/>
      <c r="R74" s="301" t="n"/>
      <c r="S74" s="301" t="n"/>
      <c r="T74" s="301" t="n"/>
      <c r="U74" s="301" t="n"/>
      <c r="V74" s="301" t="n"/>
      <c r="W74" s="301" t="n"/>
      <c r="X74" s="301" t="n"/>
      <c r="Y74" s="301" t="n"/>
      <c r="Z74" s="301" t="n"/>
      <c r="AA74" s="301" t="n"/>
      <c r="AB74" s="301" t="n"/>
      <c r="AC74" s="301" t="n"/>
      <c r="AD74" s="301" t="n"/>
      <c r="AE74" s="301" t="n"/>
      <c r="AF74" s="301" t="n"/>
      <c r="AG74" s="301" t="n"/>
    </row>
    <row r="75">
      <c r="A75" s="301" t="n"/>
      <c r="B75" s="301" t="n"/>
      <c r="C75" s="301" t="n"/>
      <c r="D75" s="301" t="n"/>
      <c r="E75" s="301" t="n"/>
      <c r="F75" s="301" t="n"/>
      <c r="G75" s="301" t="n"/>
      <c r="H75" s="301" t="n"/>
      <c r="I75" s="301" t="n"/>
      <c r="J75" s="301" t="n"/>
      <c r="K75" s="301" t="n"/>
      <c r="L75" s="301" t="n"/>
      <c r="M75" s="301" t="n"/>
      <c r="N75" s="301" t="n"/>
      <c r="O75" s="301" t="n"/>
      <c r="P75" s="301" t="n"/>
      <c r="Q75" s="301" t="n"/>
      <c r="R75" s="301" t="n"/>
      <c r="S75" s="301" t="n"/>
      <c r="T75" s="301" t="n"/>
      <c r="U75" s="301" t="n"/>
      <c r="V75" s="301" t="n"/>
      <c r="W75" s="301" t="n"/>
      <c r="X75" s="301" t="n"/>
      <c r="Y75" s="301" t="n"/>
      <c r="Z75" s="301" t="n"/>
      <c r="AA75" s="301" t="n"/>
      <c r="AB75" s="301" t="n"/>
      <c r="AC75" s="301" t="n"/>
      <c r="AD75" s="301" t="n"/>
      <c r="AE75" s="301" t="n"/>
      <c r="AF75" s="301" t="n"/>
      <c r="AG75" s="301" t="n"/>
    </row>
    <row r="76">
      <c r="A76" s="301" t="n"/>
      <c r="B76" s="301" t="n"/>
      <c r="C76" s="301" t="n"/>
      <c r="D76" s="301" t="n"/>
      <c r="E76" s="301" t="n"/>
      <c r="F76" s="301" t="n"/>
      <c r="G76" s="301" t="n"/>
      <c r="H76" s="301" t="n"/>
      <c r="I76" s="301" t="n"/>
      <c r="J76" s="301" t="n"/>
      <c r="K76" s="301" t="n"/>
      <c r="L76" s="301" t="n"/>
      <c r="M76" s="301" t="n"/>
      <c r="N76" s="301" t="n"/>
      <c r="O76" s="301" t="n"/>
      <c r="P76" s="301" t="n"/>
      <c r="Q76" s="301" t="n"/>
      <c r="R76" s="301" t="n"/>
      <c r="S76" s="301" t="n"/>
      <c r="T76" s="301" t="n"/>
      <c r="U76" s="301" t="n"/>
      <c r="V76" s="301" t="n"/>
      <c r="W76" s="301" t="n"/>
      <c r="X76" s="301" t="n"/>
      <c r="Y76" s="301" t="n"/>
      <c r="Z76" s="301" t="n"/>
      <c r="AA76" s="301" t="n"/>
      <c r="AB76" s="301" t="n"/>
      <c r="AC76" s="301" t="n"/>
      <c r="AD76" s="301" t="n"/>
      <c r="AE76" s="301" t="n"/>
      <c r="AF76" s="301" t="n"/>
      <c r="AG76" s="301" t="n"/>
    </row>
    <row r="77">
      <c r="A77" s="301" t="n"/>
      <c r="B77" s="301" t="n"/>
      <c r="C77" s="301" t="n"/>
      <c r="D77" s="301" t="n"/>
      <c r="E77" s="301" t="n"/>
      <c r="F77" s="301" t="n"/>
      <c r="G77" s="301" t="n"/>
      <c r="H77" s="301" t="n"/>
      <c r="I77" s="301" t="n"/>
      <c r="J77" s="301" t="n"/>
      <c r="K77" s="301" t="n"/>
      <c r="L77" s="301" t="n"/>
      <c r="M77" s="301" t="n"/>
      <c r="N77" s="301" t="n"/>
      <c r="O77" s="301" t="n"/>
      <c r="P77" s="301" t="n"/>
      <c r="Q77" s="301" t="n"/>
      <c r="R77" s="301" t="n"/>
      <c r="S77" s="301" t="n"/>
      <c r="T77" s="301" t="n"/>
      <c r="U77" s="301" t="n"/>
      <c r="V77" s="301" t="n"/>
      <c r="W77" s="301" t="n"/>
      <c r="X77" s="301" t="n"/>
      <c r="Y77" s="301" t="n"/>
      <c r="Z77" s="301" t="n"/>
      <c r="AA77" s="301" t="n"/>
      <c r="AB77" s="301" t="n"/>
      <c r="AC77" s="301" t="n"/>
      <c r="AD77" s="301" t="n"/>
      <c r="AE77" s="301" t="n"/>
      <c r="AF77" s="301" t="n"/>
      <c r="AG77" s="301" t="n"/>
    </row>
    <row r="78">
      <c r="A78" s="301" t="n"/>
      <c r="B78" s="301" t="n"/>
      <c r="C78" s="301" t="n"/>
      <c r="D78" s="301" t="n"/>
      <c r="E78" s="301" t="n"/>
      <c r="F78" s="301" t="n"/>
      <c r="G78" s="301" t="n"/>
      <c r="H78" s="301" t="n"/>
      <c r="I78" s="301" t="n"/>
      <c r="J78" s="301" t="n"/>
      <c r="K78" s="301" t="n"/>
      <c r="L78" s="301" t="n"/>
      <c r="M78" s="301" t="n"/>
      <c r="N78" s="301" t="n"/>
      <c r="O78" s="301" t="n"/>
      <c r="P78" s="301" t="n"/>
      <c r="Q78" s="301" t="n"/>
      <c r="R78" s="301" t="n"/>
      <c r="S78" s="301" t="n"/>
      <c r="T78" s="301" t="n"/>
      <c r="U78" s="301" t="n"/>
      <c r="V78" s="301" t="n"/>
      <c r="W78" s="301" t="n"/>
      <c r="X78" s="301" t="n"/>
      <c r="Y78" s="301" t="n"/>
      <c r="Z78" s="301" t="n"/>
      <c r="AA78" s="301" t="n"/>
      <c r="AB78" s="301" t="n"/>
      <c r="AC78" s="301" t="n"/>
      <c r="AD78" s="301" t="n"/>
      <c r="AE78" s="301" t="n"/>
      <c r="AF78" s="301" t="n"/>
      <c r="AG78" s="301" t="n"/>
    </row>
    <row r="79">
      <c r="A79" s="301" t="n"/>
      <c r="B79" s="301" t="n"/>
      <c r="C79" s="301" t="n"/>
      <c r="D79" s="301" t="n"/>
      <c r="E79" s="301" t="n"/>
      <c r="F79" s="301" t="n"/>
      <c r="G79" s="301" t="n"/>
      <c r="H79" s="301" t="n"/>
      <c r="I79" s="301" t="n"/>
      <c r="J79" s="301" t="n"/>
      <c r="K79" s="301" t="n"/>
      <c r="L79" s="301" t="n"/>
      <c r="M79" s="301" t="n"/>
      <c r="N79" s="301" t="n"/>
      <c r="O79" s="301" t="n"/>
      <c r="P79" s="301" t="n"/>
      <c r="Q79" s="301" t="n"/>
      <c r="R79" s="301" t="n"/>
      <c r="S79" s="301" t="n"/>
      <c r="T79" s="301" t="n"/>
      <c r="U79" s="301" t="n"/>
      <c r="V79" s="301" t="n"/>
      <c r="W79" s="301" t="n"/>
      <c r="X79" s="301" t="n"/>
      <c r="Y79" s="301" t="n"/>
      <c r="Z79" s="301" t="n"/>
      <c r="AA79" s="301" t="n"/>
      <c r="AB79" s="301" t="n"/>
      <c r="AC79" s="301" t="n"/>
      <c r="AD79" s="301" t="n"/>
      <c r="AE79" s="301" t="n"/>
      <c r="AF79" s="301" t="n"/>
      <c r="AG79" s="301" t="n"/>
    </row>
    <row r="80">
      <c r="A80" s="301" t="n"/>
      <c r="B80" s="301" t="n"/>
      <c r="C80" s="301" t="n"/>
      <c r="D80" s="301" t="n"/>
      <c r="E80" s="301" t="n"/>
      <c r="F80" s="301" t="n"/>
      <c r="G80" s="301" t="n"/>
      <c r="H80" s="301" t="n"/>
      <c r="I80" s="301" t="n"/>
      <c r="J80" s="301" t="n"/>
      <c r="K80" s="301" t="n"/>
      <c r="L80" s="301" t="n"/>
      <c r="M80" s="301" t="n"/>
      <c r="N80" s="301" t="n"/>
      <c r="O80" s="301" t="n"/>
      <c r="P80" s="301" t="n"/>
      <c r="Q80" s="301" t="n"/>
      <c r="R80" s="301" t="n"/>
      <c r="S80" s="301" t="n"/>
      <c r="T80" s="301" t="n"/>
      <c r="U80" s="301" t="n"/>
      <c r="V80" s="301" t="n"/>
      <c r="W80" s="301" t="n"/>
      <c r="X80" s="301" t="n"/>
      <c r="Y80" s="301" t="n"/>
      <c r="Z80" s="301" t="n"/>
      <c r="AA80" s="301" t="n"/>
      <c r="AB80" s="301" t="n"/>
      <c r="AC80" s="301" t="n"/>
      <c r="AD80" s="301" t="n"/>
      <c r="AE80" s="301" t="n"/>
      <c r="AF80" s="301" t="n"/>
      <c r="AG80" s="301" t="n"/>
    </row>
    <row r="81">
      <c r="A81" s="301" t="n"/>
      <c r="B81" s="301" t="n"/>
      <c r="C81" s="301" t="n"/>
      <c r="D81" s="301" t="n"/>
      <c r="E81" s="301" t="n"/>
      <c r="F81" s="301" t="n"/>
      <c r="G81" s="301" t="n"/>
      <c r="H81" s="301" t="n"/>
      <c r="I81" s="301" t="n"/>
      <c r="J81" s="301" t="n"/>
      <c r="K81" s="301" t="n"/>
      <c r="L81" s="301" t="n"/>
      <c r="M81" s="301" t="n"/>
      <c r="N81" s="301" t="n"/>
      <c r="O81" s="301" t="n"/>
      <c r="P81" s="301" t="n"/>
      <c r="Q81" s="301" t="n"/>
      <c r="R81" s="301" t="n"/>
      <c r="S81" s="301" t="n"/>
      <c r="T81" s="301" t="n"/>
      <c r="U81" s="301" t="n"/>
      <c r="V81" s="301" t="n"/>
      <c r="W81" s="301" t="n"/>
      <c r="X81" s="301" t="n"/>
      <c r="Y81" s="301" t="n"/>
      <c r="Z81" s="301" t="n"/>
      <c r="AA81" s="301" t="n"/>
      <c r="AB81" s="301" t="n"/>
      <c r="AC81" s="301" t="n"/>
      <c r="AD81" s="301" t="n"/>
      <c r="AE81" s="301" t="n"/>
      <c r="AF81" s="301" t="n"/>
      <c r="AG81" s="301" t="n"/>
    </row>
    <row r="82">
      <c r="A82" s="301" t="n"/>
      <c r="B82" s="301" t="n"/>
      <c r="C82" s="301" t="n"/>
      <c r="D82" s="301" t="n"/>
      <c r="E82" s="301" t="n"/>
      <c r="F82" s="301" t="n"/>
      <c r="G82" s="301" t="n"/>
      <c r="H82" s="301" t="n"/>
      <c r="I82" s="301" t="n"/>
      <c r="J82" s="301" t="n"/>
      <c r="K82" s="301" t="n"/>
      <c r="L82" s="301" t="n"/>
      <c r="M82" s="301" t="n"/>
      <c r="N82" s="301" t="n"/>
      <c r="O82" s="301" t="n"/>
      <c r="P82" s="301" t="n"/>
      <c r="Q82" s="301" t="n"/>
      <c r="R82" s="301" t="n"/>
      <c r="S82" s="301" t="n"/>
      <c r="T82" s="301" t="n"/>
      <c r="U82" s="301" t="n"/>
      <c r="V82" s="301" t="n"/>
      <c r="W82" s="301" t="n"/>
      <c r="X82" s="301" t="n"/>
      <c r="Y82" s="301" t="n"/>
      <c r="Z82" s="301" t="n"/>
      <c r="AA82" s="301" t="n"/>
      <c r="AB82" s="301" t="n"/>
      <c r="AC82" s="301" t="n"/>
      <c r="AD82" s="301" t="n"/>
      <c r="AE82" s="301" t="n"/>
      <c r="AF82" s="301" t="n"/>
      <c r="AG82" s="301" t="n"/>
    </row>
    <row r="83">
      <c r="A83" s="301" t="n"/>
      <c r="B83" s="301" t="n"/>
      <c r="C83" s="301" t="n"/>
      <c r="D83" s="301" t="n"/>
      <c r="E83" s="301" t="n"/>
      <c r="F83" s="301" t="n"/>
      <c r="G83" s="301" t="n"/>
      <c r="H83" s="301" t="n"/>
      <c r="I83" s="301" t="n"/>
      <c r="J83" s="301" t="n"/>
      <c r="K83" s="301" t="n"/>
      <c r="L83" s="301" t="n"/>
      <c r="M83" s="301" t="n"/>
      <c r="N83" s="301" t="n"/>
      <c r="O83" s="301" t="n"/>
      <c r="P83" s="301" t="n"/>
      <c r="Q83" s="301" t="n"/>
      <c r="R83" s="301" t="n"/>
      <c r="S83" s="301" t="n"/>
      <c r="T83" s="301" t="n"/>
      <c r="U83" s="301" t="n"/>
      <c r="V83" s="301" t="n"/>
      <c r="W83" s="301" t="n"/>
      <c r="X83" s="301" t="n"/>
      <c r="Y83" s="301" t="n"/>
      <c r="Z83" s="301" t="n"/>
      <c r="AA83" s="301" t="n"/>
      <c r="AB83" s="301" t="n"/>
      <c r="AC83" s="301" t="n"/>
      <c r="AD83" s="301" t="n"/>
      <c r="AE83" s="301" t="n"/>
      <c r="AF83" s="301" t="n"/>
      <c r="AG83" s="301" t="n"/>
    </row>
    <row r="84">
      <c r="A84" s="301" t="n"/>
      <c r="B84" s="301" t="n"/>
      <c r="C84" s="301" t="n"/>
      <c r="D84" s="301" t="n"/>
      <c r="E84" s="301" t="n"/>
      <c r="F84" s="301" t="n"/>
      <c r="G84" s="301" t="n"/>
      <c r="H84" s="301" t="n"/>
      <c r="I84" s="301" t="n"/>
      <c r="J84" s="301" t="n"/>
      <c r="K84" s="301" t="n"/>
      <c r="L84" s="301" t="n"/>
      <c r="M84" s="301" t="n"/>
      <c r="N84" s="301" t="n"/>
      <c r="O84" s="301" t="n"/>
      <c r="P84" s="301" t="n"/>
      <c r="Q84" s="301" t="n"/>
      <c r="R84" s="301" t="n"/>
      <c r="S84" s="301" t="n"/>
      <c r="T84" s="301" t="n"/>
      <c r="U84" s="301" t="n"/>
      <c r="V84" s="301" t="n"/>
      <c r="W84" s="301" t="n"/>
      <c r="X84" s="301" t="n"/>
      <c r="Y84" s="301" t="n"/>
      <c r="Z84" s="301" t="n"/>
      <c r="AA84" s="301" t="n"/>
      <c r="AB84" s="301" t="n"/>
      <c r="AC84" s="301" t="n"/>
      <c r="AD84" s="301" t="n"/>
      <c r="AE84" s="301" t="n"/>
      <c r="AF84" s="301" t="n"/>
      <c r="AG84" s="301" t="n"/>
    </row>
    <row r="85">
      <c r="A85" s="301" t="n"/>
      <c r="B85" s="301" t="n"/>
      <c r="C85" s="301" t="n"/>
      <c r="D85" s="301" t="n"/>
      <c r="E85" s="301" t="n"/>
      <c r="F85" s="301" t="n"/>
      <c r="G85" s="301" t="n"/>
      <c r="H85" s="301" t="n"/>
      <c r="I85" s="301" t="n"/>
      <c r="J85" s="301" t="n"/>
      <c r="K85" s="301" t="n"/>
      <c r="L85" s="301" t="n"/>
      <c r="M85" s="301" t="n"/>
      <c r="N85" s="301" t="n"/>
      <c r="O85" s="301" t="n"/>
      <c r="P85" s="301" t="n"/>
      <c r="Q85" s="301" t="n"/>
      <c r="R85" s="301" t="n"/>
      <c r="S85" s="301" t="n"/>
      <c r="T85" s="301" t="n"/>
      <c r="U85" s="301" t="n"/>
      <c r="V85" s="301" t="n"/>
      <c r="W85" s="301" t="n"/>
      <c r="X85" s="301" t="n"/>
      <c r="Y85" s="301" t="n"/>
      <c r="Z85" s="301" t="n"/>
      <c r="AA85" s="301" t="n"/>
      <c r="AB85" s="301" t="n"/>
      <c r="AC85" s="301" t="n"/>
      <c r="AD85" s="301" t="n"/>
      <c r="AE85" s="301" t="n"/>
      <c r="AF85" s="301" t="n"/>
      <c r="AG85" s="301" t="n"/>
    </row>
    <row r="86">
      <c r="A86" s="301" t="n"/>
      <c r="B86" s="301" t="n"/>
      <c r="C86" s="301" t="n"/>
      <c r="D86" s="301" t="n"/>
      <c r="E86" s="301" t="n"/>
      <c r="F86" s="301" t="n"/>
      <c r="G86" s="301" t="n"/>
      <c r="H86" s="301" t="n"/>
      <c r="I86" s="301" t="n"/>
      <c r="J86" s="301" t="n"/>
      <c r="K86" s="301" t="n"/>
      <c r="L86" s="301" t="n"/>
      <c r="M86" s="301" t="n"/>
      <c r="N86" s="301" t="n"/>
      <c r="O86" s="301" t="n"/>
      <c r="P86" s="301" t="n"/>
      <c r="Q86" s="301" t="n"/>
      <c r="R86" s="301" t="n"/>
      <c r="S86" s="301" t="n"/>
      <c r="T86" s="301" t="n"/>
      <c r="U86" s="301" t="n"/>
      <c r="V86" s="301" t="n"/>
      <c r="W86" s="301" t="n"/>
      <c r="X86" s="301" t="n"/>
      <c r="Y86" s="301" t="n"/>
      <c r="Z86" s="301" t="n"/>
      <c r="AA86" s="301" t="n"/>
      <c r="AB86" s="301" t="n"/>
      <c r="AC86" s="301" t="n"/>
      <c r="AD86" s="301" t="n"/>
      <c r="AE86" s="301" t="n"/>
      <c r="AF86" s="301" t="n"/>
      <c r="AG86" s="301" t="n"/>
    </row>
    <row r="87">
      <c r="A87" s="301" t="n"/>
      <c r="B87" s="301" t="n"/>
      <c r="C87" s="301" t="n"/>
      <c r="D87" s="301" t="n"/>
      <c r="E87" s="301" t="n"/>
      <c r="F87" s="301" t="n"/>
      <c r="G87" s="301" t="n"/>
      <c r="H87" s="301" t="n"/>
      <c r="I87" s="301" t="n"/>
      <c r="J87" s="301" t="n"/>
      <c r="K87" s="301" t="n"/>
      <c r="L87" s="301" t="n"/>
      <c r="M87" s="301" t="n"/>
      <c r="N87" s="301" t="n"/>
      <c r="O87" s="301" t="n"/>
      <c r="P87" s="301" t="n"/>
      <c r="Q87" s="301" t="n"/>
      <c r="R87" s="301" t="n"/>
      <c r="S87" s="301" t="n"/>
      <c r="T87" s="301" t="n"/>
      <c r="U87" s="301" t="n"/>
      <c r="V87" s="301" t="n"/>
      <c r="W87" s="301" t="n"/>
      <c r="X87" s="301" t="n"/>
      <c r="Y87" s="301" t="n"/>
      <c r="Z87" s="301" t="n"/>
      <c r="AA87" s="301" t="n"/>
      <c r="AB87" s="301" t="n"/>
      <c r="AC87" s="301" t="n"/>
      <c r="AD87" s="301" t="n"/>
      <c r="AE87" s="301" t="n"/>
      <c r="AF87" s="301" t="n"/>
      <c r="AG87" s="301" t="n"/>
    </row>
    <row r="88">
      <c r="A88" s="301" t="n"/>
      <c r="B88" s="301" t="n"/>
      <c r="C88" s="301" t="n"/>
      <c r="D88" s="301" t="n"/>
      <c r="E88" s="301" t="n"/>
      <c r="F88" s="301" t="n"/>
      <c r="G88" s="301" t="n"/>
      <c r="H88" s="301" t="n"/>
      <c r="I88" s="301" t="n"/>
      <c r="J88" s="301" t="n"/>
      <c r="K88" s="301" t="n"/>
      <c r="L88" s="301" t="n"/>
      <c r="M88" s="301" t="n"/>
      <c r="N88" s="301" t="n"/>
      <c r="O88" s="301" t="n"/>
      <c r="P88" s="301" t="n"/>
      <c r="Q88" s="301" t="n"/>
      <c r="R88" s="301" t="n"/>
      <c r="S88" s="301" t="n"/>
      <c r="T88" s="301" t="n"/>
      <c r="U88" s="301" t="n"/>
      <c r="V88" s="301" t="n"/>
      <c r="W88" s="301" t="n"/>
      <c r="X88" s="301" t="n"/>
      <c r="Y88" s="301" t="n"/>
      <c r="Z88" s="301" t="n"/>
      <c r="AA88" s="301" t="n"/>
      <c r="AB88" s="301" t="n"/>
      <c r="AC88" s="301" t="n"/>
      <c r="AD88" s="301" t="n"/>
      <c r="AE88" s="301" t="n"/>
      <c r="AF88" s="301" t="n"/>
      <c r="AG88" s="301" t="n"/>
    </row>
    <row r="89">
      <c r="A89" s="301" t="n"/>
      <c r="B89" s="301" t="n"/>
      <c r="C89" s="301" t="n"/>
      <c r="D89" s="301" t="n"/>
      <c r="E89" s="301" t="n"/>
      <c r="F89" s="301" t="n"/>
      <c r="G89" s="301" t="n"/>
      <c r="H89" s="301" t="n"/>
      <c r="I89" s="301" t="n"/>
      <c r="J89" s="301" t="n"/>
      <c r="K89" s="301" t="n"/>
      <c r="L89" s="301" t="n"/>
      <c r="M89" s="301" t="n"/>
      <c r="N89" s="301" t="n"/>
      <c r="O89" s="301" t="n"/>
      <c r="P89" s="301" t="n"/>
      <c r="Q89" s="301" t="n"/>
      <c r="R89" s="301" t="n"/>
      <c r="S89" s="301" t="n"/>
      <c r="T89" s="301" t="n"/>
      <c r="U89" s="301" t="n"/>
      <c r="V89" s="301" t="n"/>
      <c r="W89" s="301" t="n"/>
      <c r="X89" s="301" t="n"/>
      <c r="Y89" s="301" t="n"/>
      <c r="Z89" s="301" t="n"/>
      <c r="AA89" s="301" t="n"/>
      <c r="AB89" s="301" t="n"/>
      <c r="AC89" s="301" t="n"/>
      <c r="AD89" s="301" t="n"/>
      <c r="AE89" s="301" t="n"/>
      <c r="AF89" s="301" t="n"/>
      <c r="AG89" s="301" t="n"/>
    </row>
    <row r="90">
      <c r="A90" s="301" t="n"/>
      <c r="B90" s="301" t="n"/>
      <c r="C90" s="301" t="n"/>
      <c r="D90" s="301" t="n"/>
      <c r="E90" s="301" t="n"/>
      <c r="F90" s="301" t="n"/>
      <c r="G90" s="301" t="n"/>
      <c r="H90" s="301" t="n"/>
      <c r="I90" s="301" t="n"/>
      <c r="J90" s="301" t="n"/>
      <c r="K90" s="301" t="n"/>
      <c r="L90" s="301" t="n"/>
      <c r="M90" s="301" t="n"/>
      <c r="N90" s="301" t="n"/>
      <c r="O90" s="301" t="n"/>
      <c r="P90" s="301" t="n"/>
      <c r="Q90" s="301" t="n"/>
      <c r="R90" s="301" t="n"/>
      <c r="S90" s="301" t="n"/>
      <c r="T90" s="301" t="n"/>
      <c r="U90" s="301" t="n"/>
      <c r="V90" s="301" t="n"/>
      <c r="W90" s="301" t="n"/>
      <c r="X90" s="301" t="n"/>
      <c r="Y90" s="301" t="n"/>
      <c r="Z90" s="301" t="n"/>
      <c r="AA90" s="301" t="n"/>
      <c r="AB90" s="301" t="n"/>
      <c r="AC90" s="301" t="n"/>
      <c r="AD90" s="301" t="n"/>
      <c r="AE90" s="301" t="n"/>
      <c r="AF90" s="301" t="n"/>
      <c r="AG90" s="301" t="n"/>
    </row>
    <row r="91">
      <c r="A91" s="301" t="n"/>
      <c r="B91" s="301" t="n"/>
      <c r="C91" s="301" t="n"/>
      <c r="D91" s="301" t="n"/>
      <c r="E91" s="301" t="n"/>
      <c r="F91" s="301" t="n"/>
      <c r="G91" s="301" t="n"/>
      <c r="H91" s="301" t="n"/>
      <c r="I91" s="301" t="n"/>
      <c r="J91" s="301" t="n"/>
      <c r="K91" s="301" t="n"/>
      <c r="L91" s="301" t="n"/>
      <c r="M91" s="301" t="n"/>
      <c r="N91" s="301" t="n"/>
      <c r="O91" s="301" t="n"/>
      <c r="P91" s="301" t="n"/>
      <c r="Q91" s="301" t="n"/>
      <c r="R91" s="301" t="n"/>
      <c r="S91" s="301" t="n"/>
      <c r="T91" s="301" t="n"/>
      <c r="U91" s="301" t="n"/>
      <c r="V91" s="301" t="n"/>
      <c r="W91" s="301" t="n"/>
      <c r="X91" s="301" t="n"/>
      <c r="Y91" s="301" t="n"/>
      <c r="Z91" s="301" t="n"/>
      <c r="AA91" s="301" t="n"/>
      <c r="AB91" s="301" t="n"/>
      <c r="AC91" s="301" t="n"/>
      <c r="AD91" s="301" t="n"/>
      <c r="AE91" s="301" t="n"/>
      <c r="AF91" s="301" t="n"/>
      <c r="AG91" s="301" t="n"/>
    </row>
    <row r="92">
      <c r="A92" s="301" t="n"/>
      <c r="B92" s="301" t="n"/>
      <c r="C92" s="301" t="n"/>
      <c r="D92" s="301" t="n"/>
      <c r="E92" s="301" t="n"/>
      <c r="F92" s="301" t="n"/>
      <c r="G92" s="301" t="n"/>
      <c r="H92" s="301" t="n"/>
      <c r="I92" s="301" t="n"/>
      <c r="J92" s="301" t="n"/>
      <c r="K92" s="301" t="n"/>
      <c r="L92" s="301" t="n"/>
      <c r="M92" s="301" t="n"/>
      <c r="N92" s="301" t="n"/>
      <c r="O92" s="301" t="n"/>
      <c r="P92" s="301" t="n"/>
      <c r="Q92" s="301" t="n"/>
      <c r="R92" s="301" t="n"/>
      <c r="S92" s="301" t="n"/>
      <c r="T92" s="301" t="n"/>
      <c r="U92" s="301" t="n"/>
      <c r="V92" s="301" t="n"/>
      <c r="W92" s="301" t="n"/>
      <c r="X92" s="301" t="n"/>
      <c r="Y92" s="301" t="n"/>
      <c r="Z92" s="301" t="n"/>
      <c r="AA92" s="301" t="n"/>
      <c r="AB92" s="301" t="n"/>
      <c r="AC92" s="301" t="n"/>
      <c r="AD92" s="301" t="n"/>
      <c r="AE92" s="301" t="n"/>
      <c r="AF92" s="301" t="n"/>
      <c r="AG92" s="301" t="n"/>
    </row>
    <row r="93">
      <c r="A93" s="301" t="n"/>
      <c r="B93" s="301" t="n"/>
      <c r="C93" s="301" t="n"/>
      <c r="D93" s="301" t="n"/>
      <c r="E93" s="301" t="n"/>
      <c r="F93" s="301" t="n"/>
      <c r="G93" s="301" t="n"/>
      <c r="H93" s="301" t="n"/>
      <c r="I93" s="301" t="n"/>
      <c r="J93" s="301" t="n"/>
      <c r="K93" s="301" t="n"/>
      <c r="L93" s="301" t="n"/>
      <c r="M93" s="301" t="n"/>
      <c r="N93" s="301" t="n"/>
      <c r="O93" s="301" t="n"/>
      <c r="P93" s="301" t="n"/>
      <c r="Q93" s="301" t="n"/>
      <c r="R93" s="301" t="n"/>
      <c r="S93" s="301" t="n"/>
      <c r="T93" s="301" t="n"/>
      <c r="U93" s="301" t="n"/>
      <c r="V93" s="301" t="n"/>
      <c r="W93" s="301" t="n"/>
      <c r="X93" s="301" t="n"/>
      <c r="Y93" s="301" t="n"/>
      <c r="Z93" s="301" t="n"/>
      <c r="AA93" s="301" t="n"/>
      <c r="AB93" s="301" t="n"/>
      <c r="AC93" s="301" t="n"/>
      <c r="AD93" s="301" t="n"/>
      <c r="AE93" s="301" t="n"/>
      <c r="AF93" s="301" t="n"/>
      <c r="AG93" s="301" t="n"/>
    </row>
    <row r="94">
      <c r="A94" s="301" t="n"/>
      <c r="B94" s="301" t="n"/>
      <c r="C94" s="301" t="n"/>
      <c r="D94" s="301" t="n"/>
      <c r="E94" s="301" t="n"/>
      <c r="F94" s="301" t="n"/>
      <c r="G94" s="301" t="n"/>
      <c r="H94" s="301" t="n"/>
      <c r="I94" s="301" t="n"/>
      <c r="J94" s="301" t="n"/>
      <c r="K94" s="301" t="n"/>
      <c r="L94" s="301" t="n"/>
      <c r="M94" s="301" t="n"/>
      <c r="N94" s="301" t="n"/>
      <c r="O94" s="301" t="n"/>
      <c r="P94" s="301" t="n"/>
      <c r="Q94" s="301" t="n"/>
      <c r="R94" s="301" t="n"/>
      <c r="S94" s="301" t="n"/>
      <c r="T94" s="301" t="n"/>
      <c r="U94" s="301" t="n"/>
      <c r="V94" s="301" t="n"/>
      <c r="W94" s="301" t="n"/>
      <c r="X94" s="301" t="n"/>
      <c r="Y94" s="301" t="n"/>
      <c r="Z94" s="301" t="n"/>
      <c r="AA94" s="301" t="n"/>
      <c r="AB94" s="301" t="n"/>
      <c r="AC94" s="301" t="n"/>
      <c r="AD94" s="301" t="n"/>
      <c r="AE94" s="301" t="n"/>
      <c r="AF94" s="301" t="n"/>
      <c r="AG94" s="301" t="n"/>
    </row>
    <row r="95">
      <c r="A95" s="301" t="n"/>
      <c r="B95" s="301" t="n"/>
      <c r="C95" s="301" t="n"/>
      <c r="D95" s="301" t="n"/>
      <c r="E95" s="301" t="n"/>
      <c r="F95" s="301" t="n"/>
      <c r="G95" s="301" t="n"/>
      <c r="H95" s="301" t="n"/>
      <c r="I95" s="301" t="n"/>
      <c r="J95" s="301" t="n"/>
      <c r="K95" s="301" t="n"/>
      <c r="L95" s="301" t="n"/>
      <c r="M95" s="301" t="n"/>
      <c r="N95" s="301" t="n"/>
      <c r="O95" s="301" t="n"/>
      <c r="P95" s="301" t="n"/>
      <c r="Q95" s="301" t="n"/>
      <c r="R95" s="301" t="n"/>
      <c r="S95" s="301" t="n"/>
      <c r="T95" s="301" t="n"/>
      <c r="U95" s="301" t="n"/>
      <c r="V95" s="301" t="n"/>
      <c r="W95" s="301" t="n"/>
      <c r="X95" s="301" t="n"/>
      <c r="Y95" s="301" t="n"/>
      <c r="Z95" s="301" t="n"/>
      <c r="AA95" s="301" t="n"/>
      <c r="AB95" s="301" t="n"/>
      <c r="AC95" s="301" t="n"/>
      <c r="AD95" s="301" t="n"/>
      <c r="AE95" s="301" t="n"/>
      <c r="AF95" s="301" t="n"/>
      <c r="AG95" s="301" t="n"/>
    </row>
    <row r="96">
      <c r="A96" s="301" t="n"/>
      <c r="B96" s="301" t="n"/>
      <c r="C96" s="301" t="n"/>
      <c r="D96" s="301" t="n"/>
      <c r="E96" s="301" t="n"/>
      <c r="F96" s="301" t="n"/>
      <c r="G96" s="301" t="n"/>
      <c r="H96" s="301" t="n"/>
      <c r="I96" s="301" t="n"/>
      <c r="J96" s="301" t="n"/>
      <c r="K96" s="301" t="n"/>
      <c r="L96" s="301" t="n"/>
      <c r="M96" s="301" t="n"/>
      <c r="N96" s="301" t="n"/>
      <c r="O96" s="301" t="n"/>
      <c r="P96" s="301" t="n"/>
      <c r="Q96" s="301" t="n"/>
      <c r="R96" s="301" t="n"/>
      <c r="S96" s="301" t="n"/>
      <c r="T96" s="301" t="n"/>
      <c r="U96" s="301" t="n"/>
      <c r="V96" s="301" t="n"/>
      <c r="W96" s="301" t="n"/>
      <c r="X96" s="301" t="n"/>
      <c r="Y96" s="301" t="n"/>
      <c r="Z96" s="301" t="n"/>
      <c r="AA96" s="301" t="n"/>
      <c r="AB96" s="301" t="n"/>
      <c r="AC96" s="301" t="n"/>
      <c r="AD96" s="301" t="n"/>
      <c r="AE96" s="301" t="n"/>
      <c r="AF96" s="301" t="n"/>
      <c r="AG96" s="301" t="n"/>
    </row>
    <row r="97">
      <c r="A97" s="301" t="n"/>
      <c r="B97" s="301" t="n"/>
      <c r="C97" s="301" t="n"/>
      <c r="D97" s="301" t="n"/>
      <c r="E97" s="301" t="n"/>
      <c r="F97" s="301" t="n"/>
      <c r="G97" s="301" t="n"/>
      <c r="H97" s="301" t="n"/>
      <c r="I97" s="301" t="n"/>
      <c r="J97" s="301" t="n"/>
      <c r="K97" s="301" t="n"/>
      <c r="L97" s="301" t="n"/>
      <c r="M97" s="301" t="n"/>
      <c r="N97" s="301" t="n"/>
      <c r="O97" s="301" t="n"/>
      <c r="P97" s="301" t="n"/>
      <c r="Q97" s="301" t="n"/>
      <c r="R97" s="301" t="n"/>
      <c r="S97" s="301" t="n"/>
      <c r="T97" s="301" t="n"/>
      <c r="U97" s="301" t="n"/>
      <c r="V97" s="301" t="n"/>
      <c r="W97" s="301" t="n"/>
      <c r="X97" s="301" t="n"/>
      <c r="Y97" s="301" t="n"/>
      <c r="Z97" s="301" t="n"/>
      <c r="AA97" s="301" t="n"/>
      <c r="AB97" s="301" t="n"/>
      <c r="AC97" s="301" t="n"/>
      <c r="AD97" s="301" t="n"/>
      <c r="AE97" s="301" t="n"/>
      <c r="AF97" s="301" t="n"/>
      <c r="AG97" s="301" t="n"/>
    </row>
    <row r="98">
      <c r="A98" s="301" t="n"/>
      <c r="B98" s="301" t="n"/>
      <c r="C98" s="301" t="n"/>
      <c r="D98" s="301" t="n"/>
      <c r="E98" s="301" t="n"/>
      <c r="F98" s="301" t="n"/>
      <c r="G98" s="301" t="n"/>
      <c r="H98" s="301" t="n"/>
      <c r="I98" s="301" t="n"/>
      <c r="J98" s="301" t="n"/>
      <c r="K98" s="301" t="n"/>
      <c r="L98" s="301" t="n"/>
      <c r="M98" s="301" t="n"/>
      <c r="N98" s="301" t="n"/>
      <c r="O98" s="301" t="n"/>
      <c r="P98" s="301" t="n"/>
      <c r="Q98" s="301" t="n"/>
      <c r="R98" s="301" t="n"/>
      <c r="S98" s="301" t="n"/>
      <c r="T98" s="301" t="n"/>
      <c r="U98" s="301" t="n"/>
      <c r="V98" s="301" t="n"/>
      <c r="W98" s="301" t="n"/>
      <c r="X98" s="301" t="n"/>
      <c r="Y98" s="301" t="n"/>
      <c r="Z98" s="301" t="n"/>
      <c r="AA98" s="301" t="n"/>
      <c r="AB98" s="301" t="n"/>
      <c r="AC98" s="301" t="n"/>
      <c r="AD98" s="301" t="n"/>
      <c r="AE98" s="301" t="n"/>
      <c r="AF98" s="301" t="n"/>
      <c r="AG98" s="301" t="n"/>
    </row>
    <row r="99">
      <c r="A99" s="301" t="n"/>
      <c r="B99" s="301" t="n"/>
      <c r="C99" s="301" t="n"/>
      <c r="D99" s="301" t="n"/>
      <c r="E99" s="301" t="n"/>
      <c r="F99" s="301" t="n"/>
      <c r="G99" s="301" t="n"/>
      <c r="H99" s="301" t="n"/>
      <c r="I99" s="301" t="n"/>
      <c r="J99" s="301" t="n"/>
      <c r="K99" s="301" t="n"/>
      <c r="L99" s="301" t="n"/>
      <c r="M99" s="301" t="n"/>
      <c r="N99" s="301" t="n"/>
      <c r="O99" s="301" t="n"/>
      <c r="P99" s="301" t="n"/>
      <c r="Q99" s="301" t="n"/>
      <c r="R99" s="301" t="n"/>
      <c r="S99" s="301" t="n"/>
      <c r="T99" s="301" t="n"/>
      <c r="U99" s="301" t="n"/>
      <c r="V99" s="301" t="n"/>
      <c r="W99" s="301" t="n"/>
      <c r="X99" s="301" t="n"/>
      <c r="Y99" s="301" t="n"/>
      <c r="Z99" s="301" t="n"/>
      <c r="AA99" s="301" t="n"/>
      <c r="AB99" s="301" t="n"/>
      <c r="AC99" s="301" t="n"/>
      <c r="AD99" s="301" t="n"/>
      <c r="AE99" s="301" t="n"/>
      <c r="AF99" s="301" t="n"/>
      <c r="AG99" s="301" t="n"/>
    </row>
    <row r="100">
      <c r="A100" s="301" t="n"/>
      <c r="B100" s="301" t="n"/>
      <c r="C100" s="301" t="n"/>
      <c r="D100" s="301" t="n"/>
      <c r="E100" s="301" t="n"/>
      <c r="F100" s="301" t="n"/>
      <c r="G100" s="301" t="n"/>
      <c r="H100" s="301" t="n"/>
      <c r="I100" s="301" t="n"/>
      <c r="J100" s="301" t="n"/>
      <c r="K100" s="301" t="n"/>
      <c r="L100" s="301" t="n"/>
      <c r="M100" s="301" t="n"/>
      <c r="N100" s="301" t="n"/>
      <c r="O100" s="301" t="n"/>
      <c r="P100" s="301" t="n"/>
      <c r="Q100" s="301" t="n"/>
      <c r="R100" s="301" t="n"/>
      <c r="S100" s="301" t="n"/>
      <c r="T100" s="301" t="n"/>
      <c r="U100" s="301" t="n"/>
      <c r="V100" s="301" t="n"/>
      <c r="W100" s="301" t="n"/>
      <c r="X100" s="301" t="n"/>
      <c r="Y100" s="301" t="n"/>
      <c r="Z100" s="301" t="n"/>
      <c r="AA100" s="301" t="n"/>
      <c r="AB100" s="301" t="n"/>
      <c r="AC100" s="301" t="n"/>
      <c r="AD100" s="301" t="n"/>
      <c r="AE100" s="301" t="n"/>
      <c r="AF100" s="301" t="n"/>
      <c r="AG100" s="301" t="n"/>
    </row>
    <row r="101">
      <c r="A101" s="301" t="n"/>
      <c r="B101" s="301" t="n"/>
      <c r="C101" s="301" t="n"/>
      <c r="D101" s="301" t="n"/>
      <c r="E101" s="301" t="n"/>
      <c r="F101" s="301" t="n"/>
      <c r="G101" s="301" t="n"/>
      <c r="H101" s="301" t="n"/>
      <c r="I101" s="301" t="n"/>
      <c r="J101" s="301" t="n"/>
      <c r="K101" s="301" t="n"/>
      <c r="L101" s="301" t="n"/>
      <c r="M101" s="301" t="n"/>
      <c r="N101" s="301" t="n"/>
      <c r="O101" s="301" t="n"/>
      <c r="P101" s="301" t="n"/>
      <c r="Q101" s="301" t="n"/>
      <c r="R101" s="301" t="n"/>
      <c r="S101" s="301" t="n"/>
      <c r="T101" s="301" t="n"/>
      <c r="U101" s="301" t="n"/>
      <c r="V101" s="301" t="n"/>
      <c r="W101" s="301" t="n"/>
      <c r="X101" s="301" t="n"/>
      <c r="Y101" s="301" t="n"/>
      <c r="Z101" s="301" t="n"/>
      <c r="AA101" s="301" t="n"/>
      <c r="AB101" s="301" t="n"/>
      <c r="AC101" s="301" t="n"/>
      <c r="AD101" s="301" t="n"/>
      <c r="AE101" s="301" t="n"/>
      <c r="AF101" s="301" t="n"/>
      <c r="AG101" s="301" t="n"/>
    </row>
    <row r="102">
      <c r="A102" s="301" t="n"/>
      <c r="B102" s="301" t="n"/>
      <c r="C102" s="301" t="n"/>
      <c r="D102" s="301" t="n"/>
      <c r="E102" s="301" t="n"/>
      <c r="F102" s="301" t="n"/>
      <c r="G102" s="301" t="n"/>
      <c r="H102" s="301" t="n"/>
      <c r="I102" s="301" t="n"/>
      <c r="J102" s="301" t="n"/>
      <c r="K102" s="301" t="n"/>
      <c r="L102" s="301" t="n"/>
      <c r="M102" s="301" t="n"/>
      <c r="N102" s="301" t="n"/>
      <c r="O102" s="301" t="n"/>
      <c r="P102" s="301" t="n"/>
      <c r="Q102" s="301" t="n"/>
      <c r="R102" s="301" t="n"/>
      <c r="S102" s="301" t="n"/>
      <c r="T102" s="301" t="n"/>
      <c r="U102" s="301" t="n"/>
      <c r="V102" s="301" t="n"/>
      <c r="W102" s="301" t="n"/>
      <c r="X102" s="301" t="n"/>
      <c r="Y102" s="301" t="n"/>
      <c r="Z102" s="301" t="n"/>
      <c r="AA102" s="301" t="n"/>
      <c r="AB102" s="301" t="n"/>
      <c r="AC102" s="301" t="n"/>
      <c r="AD102" s="301" t="n"/>
      <c r="AE102" s="301" t="n"/>
      <c r="AF102" s="301" t="n"/>
      <c r="AG102" s="301" t="n"/>
    </row>
    <row r="103">
      <c r="A103" s="301" t="n"/>
      <c r="B103" s="301" t="n"/>
      <c r="C103" s="301" t="n"/>
      <c r="D103" s="301" t="n"/>
      <c r="E103" s="301" t="n"/>
      <c r="F103" s="301" t="n"/>
      <c r="G103" s="301" t="n"/>
      <c r="H103" s="301" t="n"/>
      <c r="I103" s="301" t="n"/>
      <c r="J103" s="301" t="n"/>
      <c r="K103" s="301" t="n"/>
      <c r="L103" s="301" t="n"/>
      <c r="M103" s="301" t="n"/>
      <c r="N103" s="301" t="n"/>
      <c r="O103" s="301" t="n"/>
      <c r="P103" s="301" t="n"/>
      <c r="Q103" s="301" t="n"/>
      <c r="R103" s="301" t="n"/>
      <c r="S103" s="301" t="n"/>
      <c r="T103" s="301" t="n"/>
      <c r="U103" s="301" t="n"/>
      <c r="V103" s="301" t="n"/>
      <c r="W103" s="301" t="n"/>
      <c r="X103" s="301" t="n"/>
      <c r="Y103" s="301" t="n"/>
      <c r="Z103" s="301" t="n"/>
      <c r="AA103" s="301" t="n"/>
      <c r="AB103" s="301" t="n"/>
      <c r="AC103" s="301" t="n"/>
      <c r="AD103" s="301" t="n"/>
      <c r="AE103" s="301" t="n"/>
      <c r="AF103" s="301" t="n"/>
      <c r="AG103" s="301" t="n"/>
    </row>
    <row r="104">
      <c r="A104" s="301" t="n"/>
      <c r="B104" s="301" t="n"/>
      <c r="C104" s="301" t="n"/>
      <c r="D104" s="301" t="n"/>
      <c r="E104" s="301" t="n"/>
      <c r="F104" s="301" t="n"/>
      <c r="G104" s="301" t="n"/>
      <c r="H104" s="301" t="n"/>
      <c r="I104" s="301" t="n"/>
      <c r="J104" s="301" t="n"/>
      <c r="K104" s="301" t="n"/>
      <c r="L104" s="301" t="n"/>
      <c r="M104" s="301" t="n"/>
      <c r="N104" s="301" t="n"/>
      <c r="O104" s="301" t="n"/>
      <c r="P104" s="301" t="n"/>
      <c r="Q104" s="301" t="n"/>
      <c r="R104" s="301" t="n"/>
      <c r="S104" s="301" t="n"/>
      <c r="T104" s="301" t="n"/>
      <c r="U104" s="301" t="n"/>
      <c r="V104" s="301" t="n"/>
      <c r="W104" s="301" t="n"/>
      <c r="X104" s="301" t="n"/>
      <c r="Y104" s="301" t="n"/>
      <c r="Z104" s="301" t="n"/>
      <c r="AA104" s="301" t="n"/>
      <c r="AB104" s="301" t="n"/>
      <c r="AC104" s="301" t="n"/>
      <c r="AD104" s="301" t="n"/>
      <c r="AE104" s="301" t="n"/>
      <c r="AF104" s="301" t="n"/>
      <c r="AG104" s="301" t="n"/>
    </row>
    <row r="105">
      <c r="A105" s="301" t="n"/>
      <c r="B105" s="301" t="n"/>
      <c r="C105" s="301" t="n"/>
      <c r="D105" s="301" t="n"/>
      <c r="E105" s="301" t="n"/>
      <c r="F105" s="301" t="n"/>
      <c r="G105" s="301" t="n"/>
      <c r="H105" s="301" t="n"/>
      <c r="I105" s="301" t="n"/>
      <c r="J105" s="301" t="n"/>
      <c r="K105" s="301" t="n"/>
      <c r="L105" s="301" t="n"/>
      <c r="M105" s="301" t="n"/>
      <c r="N105" s="301" t="n"/>
      <c r="O105" s="301" t="n"/>
      <c r="P105" s="301" t="n"/>
      <c r="Q105" s="301" t="n"/>
      <c r="R105" s="301" t="n"/>
      <c r="S105" s="301" t="n"/>
      <c r="T105" s="301" t="n"/>
      <c r="U105" s="301" t="n"/>
      <c r="V105" s="301" t="n"/>
      <c r="W105" s="301" t="n"/>
      <c r="X105" s="301" t="n"/>
      <c r="Y105" s="301" t="n"/>
      <c r="Z105" s="301" t="n"/>
      <c r="AA105" s="301" t="n"/>
      <c r="AB105" s="301" t="n"/>
      <c r="AC105" s="301" t="n"/>
      <c r="AD105" s="301" t="n"/>
      <c r="AE105" s="301" t="n"/>
      <c r="AF105" s="301" t="n"/>
      <c r="AG105" s="301" t="n"/>
    </row>
    <row r="106">
      <c r="A106" s="301" t="n"/>
      <c r="B106" s="301" t="n"/>
      <c r="C106" s="301" t="n"/>
      <c r="D106" s="301" t="n"/>
      <c r="E106" s="301" t="n"/>
      <c r="F106" s="301" t="n"/>
      <c r="G106" s="301" t="n"/>
      <c r="H106" s="301" t="n"/>
      <c r="I106" s="301" t="n"/>
      <c r="J106" s="301" t="n"/>
      <c r="K106" s="301" t="n"/>
      <c r="L106" s="301" t="n"/>
      <c r="M106" s="301" t="n"/>
      <c r="N106" s="301" t="n"/>
      <c r="O106" s="301" t="n"/>
      <c r="P106" s="301" t="n"/>
      <c r="Q106" s="301" t="n"/>
      <c r="R106" s="301" t="n"/>
      <c r="S106" s="301" t="n"/>
      <c r="T106" s="301" t="n"/>
      <c r="U106" s="301" t="n"/>
      <c r="V106" s="301" t="n"/>
      <c r="W106" s="301" t="n"/>
      <c r="X106" s="301" t="n"/>
      <c r="Y106" s="301" t="n"/>
      <c r="Z106" s="301" t="n"/>
      <c r="AA106" s="301" t="n"/>
      <c r="AB106" s="301" t="n"/>
      <c r="AC106" s="301" t="n"/>
      <c r="AD106" s="301" t="n"/>
      <c r="AE106" s="301" t="n"/>
      <c r="AF106" s="301" t="n"/>
      <c r="AG106" s="301" t="n"/>
    </row>
    <row r="107">
      <c r="A107" s="301" t="n"/>
      <c r="B107" s="301" t="n"/>
      <c r="C107" s="301" t="n"/>
      <c r="D107" s="301" t="n"/>
      <c r="E107" s="301" t="n"/>
      <c r="F107" s="301" t="n"/>
      <c r="G107" s="301" t="n"/>
      <c r="H107" s="301" t="n"/>
      <c r="I107" s="301" t="n"/>
      <c r="J107" s="301" t="n"/>
      <c r="K107" s="301" t="n"/>
      <c r="L107" s="301" t="n"/>
      <c r="M107" s="301" t="n"/>
      <c r="N107" s="301" t="n"/>
      <c r="O107" s="301" t="n"/>
      <c r="P107" s="301" t="n"/>
      <c r="Q107" s="301" t="n"/>
      <c r="R107" s="301" t="n"/>
      <c r="S107" s="301" t="n"/>
      <c r="T107" s="301" t="n"/>
      <c r="U107" s="301" t="n"/>
      <c r="V107" s="301" t="n"/>
      <c r="W107" s="301" t="n"/>
      <c r="X107" s="301" t="n"/>
      <c r="Y107" s="301" t="n"/>
      <c r="Z107" s="301" t="n"/>
      <c r="AA107" s="301" t="n"/>
      <c r="AB107" s="301" t="n"/>
      <c r="AC107" s="301" t="n"/>
      <c r="AD107" s="301" t="n"/>
      <c r="AE107" s="301" t="n"/>
      <c r="AF107" s="301" t="n"/>
      <c r="AG107" s="301" t="n"/>
    </row>
    <row r="108">
      <c r="A108" s="301" t="n"/>
      <c r="B108" s="301" t="n"/>
      <c r="C108" s="301" t="n"/>
      <c r="D108" s="301" t="n"/>
      <c r="E108" s="301" t="n"/>
      <c r="F108" s="301" t="n"/>
      <c r="G108" s="301" t="n"/>
      <c r="H108" s="301" t="n"/>
      <c r="I108" s="301" t="n"/>
      <c r="J108" s="301" t="n"/>
      <c r="K108" s="301" t="n"/>
      <c r="L108" s="301" t="n"/>
      <c r="M108" s="301" t="n"/>
      <c r="N108" s="301" t="n"/>
      <c r="O108" s="301" t="n"/>
      <c r="P108" s="301" t="n"/>
      <c r="Q108" s="301" t="n"/>
      <c r="R108" s="301" t="n"/>
      <c r="S108" s="301" t="n"/>
      <c r="T108" s="301" t="n"/>
      <c r="U108" s="301" t="n"/>
      <c r="V108" s="301" t="n"/>
      <c r="W108" s="301" t="n"/>
      <c r="X108" s="301" t="n"/>
      <c r="Y108" s="301" t="n"/>
      <c r="Z108" s="301" t="n"/>
      <c r="AA108" s="301" t="n"/>
      <c r="AB108" s="301" t="n"/>
      <c r="AC108" s="301" t="n"/>
      <c r="AD108" s="301" t="n"/>
      <c r="AE108" s="301" t="n"/>
      <c r="AF108" s="301" t="n"/>
      <c r="AG108" s="301" t="n"/>
    </row>
    <row r="109">
      <c r="A109" s="301" t="n"/>
      <c r="B109" s="301" t="n"/>
      <c r="C109" s="301" t="n"/>
      <c r="D109" s="301" t="n"/>
      <c r="E109" s="301" t="n"/>
      <c r="F109" s="301" t="n"/>
      <c r="G109" s="301" t="n"/>
      <c r="H109" s="301" t="n"/>
      <c r="I109" s="301" t="n"/>
      <c r="J109" s="301" t="n"/>
      <c r="K109" s="301" t="n"/>
      <c r="L109" s="301" t="n"/>
      <c r="M109" s="301" t="n"/>
      <c r="N109" s="301" t="n"/>
      <c r="O109" s="301" t="n"/>
      <c r="P109" s="301" t="n"/>
      <c r="Q109" s="301" t="n"/>
      <c r="R109" s="301" t="n"/>
      <c r="S109" s="301" t="n"/>
      <c r="T109" s="301" t="n"/>
      <c r="U109" s="301" t="n"/>
      <c r="V109" s="301" t="n"/>
      <c r="W109" s="301" t="n"/>
      <c r="X109" s="301" t="n"/>
      <c r="Y109" s="301" t="n"/>
      <c r="Z109" s="301" t="n"/>
      <c r="AA109" s="301" t="n"/>
      <c r="AB109" s="301" t="n"/>
      <c r="AC109" s="301" t="n"/>
      <c r="AD109" s="301" t="n"/>
      <c r="AE109" s="301" t="n"/>
      <c r="AF109" s="301" t="n"/>
      <c r="AG109" s="301" t="n"/>
    </row>
    <row r="110">
      <c r="A110" s="301" t="n"/>
      <c r="B110" s="301" t="n"/>
      <c r="C110" s="301" t="n"/>
      <c r="D110" s="301" t="n"/>
      <c r="E110" s="301" t="n"/>
      <c r="F110" s="301" t="n"/>
      <c r="G110" s="301" t="n"/>
      <c r="H110" s="301" t="n"/>
      <c r="I110" s="301" t="n"/>
      <c r="J110" s="301" t="n"/>
      <c r="K110" s="301" t="n"/>
      <c r="L110" s="301" t="n"/>
      <c r="M110" s="301" t="n"/>
      <c r="N110" s="301" t="n"/>
      <c r="O110" s="301" t="n"/>
      <c r="P110" s="301" t="n"/>
      <c r="Q110" s="301" t="n"/>
      <c r="R110" s="301" t="n"/>
      <c r="S110" s="301" t="n"/>
      <c r="T110" s="301" t="n"/>
      <c r="U110" s="301" t="n"/>
      <c r="V110" s="301" t="n"/>
      <c r="W110" s="301" t="n"/>
      <c r="X110" s="301" t="n"/>
      <c r="Y110" s="301" t="n"/>
      <c r="Z110" s="301" t="n"/>
      <c r="AA110" s="301" t="n"/>
      <c r="AB110" s="301" t="n"/>
      <c r="AC110" s="301" t="n"/>
      <c r="AD110" s="301" t="n"/>
      <c r="AE110" s="301" t="n"/>
      <c r="AF110" s="301" t="n"/>
      <c r="AG110" s="301" t="n"/>
    </row>
    <row r="111">
      <c r="A111" s="301" t="n"/>
      <c r="B111" s="301" t="n"/>
      <c r="C111" s="301" t="n"/>
      <c r="D111" s="301" t="n"/>
      <c r="E111" s="301" t="n"/>
      <c r="F111" s="301" t="n"/>
      <c r="G111" s="301" t="n"/>
      <c r="H111" s="301" t="n"/>
      <c r="I111" s="301" t="n"/>
      <c r="J111" s="301" t="n"/>
      <c r="K111" s="301" t="n"/>
      <c r="L111" s="301" t="n"/>
      <c r="M111" s="301" t="n"/>
      <c r="N111" s="301" t="n"/>
      <c r="O111" s="301" t="n"/>
      <c r="P111" s="301" t="n"/>
      <c r="Q111" s="301" t="n"/>
      <c r="R111" s="301" t="n"/>
      <c r="S111" s="301" t="n"/>
      <c r="T111" s="301" t="n"/>
      <c r="U111" s="301" t="n"/>
      <c r="V111" s="301" t="n"/>
      <c r="W111" s="301" t="n"/>
      <c r="X111" s="301" t="n"/>
      <c r="Y111" s="301" t="n"/>
      <c r="Z111" s="301" t="n"/>
      <c r="AA111" s="301" t="n"/>
      <c r="AB111" s="301" t="n"/>
      <c r="AC111" s="301" t="n"/>
      <c r="AD111" s="301" t="n"/>
      <c r="AE111" s="301" t="n"/>
      <c r="AF111" s="301" t="n"/>
      <c r="AG111" s="301" t="n"/>
    </row>
    <row r="112">
      <c r="A112" s="301" t="n"/>
      <c r="B112" s="301" t="n"/>
      <c r="C112" s="301" t="n"/>
      <c r="D112" s="301" t="n"/>
      <c r="E112" s="301" t="n"/>
      <c r="F112" s="301" t="n"/>
      <c r="G112" s="301" t="n"/>
      <c r="H112" s="301" t="n"/>
      <c r="I112" s="301" t="n"/>
      <c r="J112" s="301" t="n"/>
      <c r="K112" s="301" t="n"/>
      <c r="L112" s="301" t="n"/>
      <c r="M112" s="301" t="n"/>
      <c r="N112" s="301" t="n"/>
      <c r="O112" s="301" t="n"/>
      <c r="P112" s="301" t="n"/>
      <c r="Q112" s="301" t="n"/>
      <c r="R112" s="301" t="n"/>
      <c r="S112" s="301" t="n"/>
      <c r="T112" s="301" t="n"/>
      <c r="U112" s="301" t="n"/>
      <c r="V112" s="301" t="n"/>
      <c r="W112" s="301" t="n"/>
      <c r="X112" s="301" t="n"/>
      <c r="Y112" s="301" t="n"/>
      <c r="Z112" s="301" t="n"/>
      <c r="AA112" s="301" t="n"/>
      <c r="AB112" s="301" t="n"/>
      <c r="AC112" s="301" t="n"/>
      <c r="AD112" s="301" t="n"/>
      <c r="AE112" s="301" t="n"/>
      <c r="AF112" s="301" t="n"/>
      <c r="AG112" s="301" t="n"/>
    </row>
    <row r="113">
      <c r="A113" s="301" t="n"/>
      <c r="B113" s="301" t="n"/>
      <c r="C113" s="301" t="n"/>
      <c r="D113" s="301" t="n"/>
      <c r="E113" s="301" t="n"/>
      <c r="F113" s="301" t="n"/>
      <c r="G113" s="301" t="n"/>
      <c r="H113" s="301" t="n"/>
      <c r="I113" s="301" t="n"/>
      <c r="J113" s="301" t="n"/>
      <c r="K113" s="301" t="n"/>
      <c r="L113" s="301" t="n"/>
      <c r="M113" s="301" t="n"/>
      <c r="N113" s="301" t="n"/>
      <c r="O113" s="301" t="n"/>
      <c r="P113" s="301" t="n"/>
      <c r="Q113" s="301" t="n"/>
      <c r="R113" s="301" t="n"/>
      <c r="S113" s="301" t="n"/>
      <c r="T113" s="301" t="n"/>
      <c r="U113" s="301" t="n"/>
      <c r="V113" s="301" t="n"/>
      <c r="W113" s="301" t="n"/>
      <c r="X113" s="301" t="n"/>
      <c r="Y113" s="301" t="n"/>
      <c r="Z113" s="301" t="n"/>
      <c r="AA113" s="301" t="n"/>
      <c r="AB113" s="301" t="n"/>
      <c r="AC113" s="301" t="n"/>
      <c r="AD113" s="301" t="n"/>
      <c r="AE113" s="301" t="n"/>
      <c r="AF113" s="301" t="n"/>
      <c r="AG113" s="301" t="n"/>
    </row>
    <row r="114">
      <c r="A114" s="301" t="n"/>
      <c r="B114" s="301" t="n"/>
      <c r="C114" s="301" t="n"/>
      <c r="D114" s="301" t="n"/>
      <c r="E114" s="301" t="n"/>
      <c r="F114" s="301" t="n"/>
      <c r="G114" s="301" t="n"/>
      <c r="H114" s="301" t="n"/>
      <c r="I114" s="301" t="n"/>
      <c r="J114" s="301" t="n"/>
      <c r="K114" s="301" t="n"/>
      <c r="L114" s="301" t="n"/>
      <c r="M114" s="301" t="n"/>
      <c r="N114" s="301" t="n"/>
      <c r="O114" s="301" t="n"/>
      <c r="P114" s="301" t="n"/>
      <c r="Q114" s="301" t="n"/>
      <c r="R114" s="301" t="n"/>
      <c r="S114" s="301" t="n"/>
      <c r="T114" s="301" t="n"/>
      <c r="U114" s="301" t="n"/>
      <c r="V114" s="301" t="n"/>
      <c r="W114" s="301" t="n"/>
      <c r="X114" s="301" t="n"/>
      <c r="Y114" s="301" t="n"/>
      <c r="Z114" s="301" t="n"/>
      <c r="AA114" s="301" t="n"/>
      <c r="AB114" s="301" t="n"/>
      <c r="AC114" s="301" t="n"/>
      <c r="AD114" s="301" t="n"/>
      <c r="AE114" s="301" t="n"/>
      <c r="AF114" s="301" t="n"/>
      <c r="AG114" s="301" t="n"/>
    </row>
    <row r="115">
      <c r="A115" s="301" t="n"/>
      <c r="B115" s="301" t="n"/>
      <c r="C115" s="301" t="n"/>
      <c r="D115" s="301" t="n"/>
      <c r="E115" s="301" t="n"/>
      <c r="F115" s="301" t="n"/>
      <c r="G115" s="301" t="n"/>
      <c r="H115" s="301" t="n"/>
      <c r="I115" s="301" t="n"/>
      <c r="J115" s="301" t="n"/>
      <c r="K115" s="301" t="n"/>
      <c r="L115" s="301" t="n"/>
      <c r="M115" s="301" t="n"/>
      <c r="N115" s="301" t="n"/>
      <c r="O115" s="301" t="n"/>
      <c r="P115" s="301" t="n"/>
      <c r="Q115" s="301" t="n"/>
      <c r="R115" s="301" t="n"/>
      <c r="S115" s="301" t="n"/>
      <c r="T115" s="301" t="n"/>
      <c r="U115" s="301" t="n"/>
      <c r="V115" s="301" t="n"/>
      <c r="W115" s="301" t="n"/>
      <c r="X115" s="301" t="n"/>
      <c r="Y115" s="301" t="n"/>
      <c r="Z115" s="301" t="n"/>
      <c r="AA115" s="301" t="n"/>
      <c r="AB115" s="301" t="n"/>
      <c r="AC115" s="301" t="n"/>
      <c r="AD115" s="301" t="n"/>
      <c r="AE115" s="301" t="n"/>
      <c r="AF115" s="301" t="n"/>
      <c r="AG115" s="301" t="n"/>
    </row>
    <row r="116">
      <c r="A116" s="301" t="n"/>
      <c r="B116" s="301" t="n"/>
      <c r="C116" s="301" t="n"/>
      <c r="D116" s="301" t="n"/>
      <c r="E116" s="301" t="n"/>
      <c r="F116" s="301" t="n"/>
      <c r="G116" s="301" t="n"/>
      <c r="H116" s="301" t="n"/>
      <c r="I116" s="301" t="n"/>
      <c r="J116" s="301" t="n"/>
      <c r="K116" s="301" t="n"/>
      <c r="L116" s="301" t="n"/>
      <c r="M116" s="301" t="n"/>
      <c r="N116" s="301" t="n"/>
      <c r="O116" s="301" t="n"/>
      <c r="P116" s="301" t="n"/>
      <c r="Q116" s="301" t="n"/>
      <c r="R116" s="301" t="n"/>
      <c r="S116" s="301" t="n"/>
      <c r="T116" s="301" t="n"/>
      <c r="U116" s="301" t="n"/>
      <c r="V116" s="301" t="n"/>
      <c r="W116" s="301" t="n"/>
      <c r="X116" s="301" t="n"/>
      <c r="Y116" s="301" t="n"/>
      <c r="Z116" s="301" t="n"/>
      <c r="AA116" s="301" t="n"/>
      <c r="AB116" s="301" t="n"/>
      <c r="AC116" s="301" t="n"/>
      <c r="AD116" s="301" t="n"/>
      <c r="AE116" s="301" t="n"/>
      <c r="AF116" s="301" t="n"/>
      <c r="AG116" s="301" t="n"/>
    </row>
    <row r="117">
      <c r="A117" s="301" t="n"/>
      <c r="B117" s="301" t="n"/>
      <c r="C117" s="301" t="n"/>
      <c r="D117" s="301" t="n"/>
      <c r="E117" s="301" t="n"/>
      <c r="F117" s="301" t="n"/>
      <c r="G117" s="301" t="n"/>
      <c r="H117" s="301" t="n"/>
      <c r="I117" s="301" t="n"/>
      <c r="J117" s="301" t="n"/>
      <c r="K117" s="301" t="n"/>
      <c r="L117" s="301" t="n"/>
      <c r="M117" s="301" t="n"/>
      <c r="N117" s="301" t="n"/>
      <c r="O117" s="301" t="n"/>
      <c r="P117" s="301" t="n"/>
      <c r="Q117" s="301" t="n"/>
      <c r="R117" s="301" t="n"/>
      <c r="S117" s="301" t="n"/>
      <c r="T117" s="301" t="n"/>
      <c r="U117" s="301" t="n"/>
      <c r="V117" s="301" t="n"/>
      <c r="W117" s="301" t="n"/>
      <c r="X117" s="301" t="n"/>
      <c r="Y117" s="301" t="n"/>
      <c r="Z117" s="301" t="n"/>
      <c r="AA117" s="301" t="n"/>
      <c r="AB117" s="301" t="n"/>
      <c r="AC117" s="301" t="n"/>
      <c r="AD117" s="301" t="n"/>
      <c r="AE117" s="301" t="n"/>
      <c r="AF117" s="301" t="n"/>
      <c r="AG117" s="301" t="n"/>
    </row>
    <row r="118">
      <c r="A118" s="301" t="n"/>
      <c r="B118" s="301" t="n"/>
      <c r="C118" s="301" t="n"/>
      <c r="D118" s="301" t="n"/>
      <c r="E118" s="301" t="n"/>
      <c r="F118" s="301" t="n"/>
      <c r="G118" s="301" t="n"/>
      <c r="H118" s="301" t="n"/>
      <c r="I118" s="301" t="n"/>
      <c r="J118" s="301" t="n"/>
      <c r="K118" s="301" t="n"/>
      <c r="L118" s="301" t="n"/>
      <c r="M118" s="301" t="n"/>
      <c r="N118" s="301" t="n"/>
      <c r="O118" s="301" t="n"/>
      <c r="P118" s="301" t="n"/>
      <c r="Q118" s="301" t="n"/>
      <c r="R118" s="301" t="n"/>
      <c r="S118" s="301" t="n"/>
      <c r="T118" s="301" t="n"/>
      <c r="U118" s="301" t="n"/>
      <c r="V118" s="301" t="n"/>
      <c r="W118" s="301" t="n"/>
      <c r="X118" s="301" t="n"/>
      <c r="Y118" s="301" t="n"/>
      <c r="Z118" s="301" t="n"/>
      <c r="AA118" s="301" t="n"/>
      <c r="AB118" s="301" t="n"/>
      <c r="AC118" s="301" t="n"/>
      <c r="AD118" s="301" t="n"/>
      <c r="AE118" s="301" t="n"/>
      <c r="AF118" s="301" t="n"/>
      <c r="AG118" s="301" t="n"/>
    </row>
    <row r="119">
      <c r="A119" s="301" t="n"/>
      <c r="B119" s="301" t="n"/>
      <c r="C119" s="301" t="n"/>
      <c r="D119" s="301" t="n"/>
      <c r="E119" s="301" t="n"/>
      <c r="F119" s="301" t="n"/>
      <c r="G119" s="301" t="n"/>
      <c r="H119" s="301" t="n"/>
      <c r="I119" s="301" t="n"/>
      <c r="J119" s="301" t="n"/>
      <c r="K119" s="301" t="n"/>
      <c r="L119" s="301" t="n"/>
      <c r="M119" s="301" t="n"/>
      <c r="N119" s="301" t="n"/>
      <c r="O119" s="301" t="n"/>
      <c r="P119" s="301" t="n"/>
      <c r="Q119" s="301" t="n"/>
      <c r="R119" s="301" t="n"/>
      <c r="S119" s="301" t="n"/>
      <c r="T119" s="301" t="n"/>
      <c r="U119" s="301" t="n"/>
      <c r="V119" s="301" t="n"/>
      <c r="W119" s="301" t="n"/>
      <c r="X119" s="301" t="n"/>
      <c r="Y119" s="301" t="n"/>
      <c r="Z119" s="301" t="n"/>
      <c r="AA119" s="301" t="n"/>
      <c r="AB119" s="301" t="n"/>
      <c r="AC119" s="301" t="n"/>
      <c r="AD119" s="301" t="n"/>
      <c r="AE119" s="301" t="n"/>
      <c r="AF119" s="301" t="n"/>
      <c r="AG119" s="301" t="n"/>
    </row>
    <row r="120">
      <c r="A120" s="301" t="n"/>
      <c r="B120" s="301" t="n"/>
      <c r="C120" s="301" t="n"/>
      <c r="D120" s="301" t="n"/>
      <c r="E120" s="301" t="n"/>
      <c r="F120" s="301" t="n"/>
      <c r="G120" s="301" t="n"/>
      <c r="H120" s="301" t="n"/>
      <c r="I120" s="301" t="n"/>
      <c r="J120" s="301" t="n"/>
      <c r="K120" s="301" t="n"/>
      <c r="L120" s="301" t="n"/>
      <c r="M120" s="301" t="n"/>
      <c r="N120" s="301" t="n"/>
      <c r="O120" s="301" t="n"/>
      <c r="P120" s="301" t="n"/>
      <c r="Q120" s="301" t="n"/>
      <c r="R120" s="301" t="n"/>
      <c r="S120" s="301" t="n"/>
      <c r="T120" s="301" t="n"/>
      <c r="U120" s="301" t="n"/>
      <c r="V120" s="301" t="n"/>
      <c r="W120" s="301" t="n"/>
      <c r="X120" s="301" t="n"/>
      <c r="Y120" s="301" t="n"/>
      <c r="Z120" s="301" t="n"/>
      <c r="AA120" s="301" t="n"/>
      <c r="AB120" s="301" t="n"/>
      <c r="AC120" s="301" t="n"/>
      <c r="AD120" s="301" t="n"/>
      <c r="AE120" s="301" t="n"/>
      <c r="AF120" s="301" t="n"/>
      <c r="AG120" s="301" t="n"/>
    </row>
    <row r="121">
      <c r="A121" s="301" t="n"/>
      <c r="B121" s="301" t="n"/>
      <c r="C121" s="301" t="n"/>
      <c r="D121" s="301" t="n"/>
      <c r="E121" s="301" t="n"/>
      <c r="F121" s="301" t="n"/>
      <c r="G121" s="301" t="n"/>
      <c r="H121" s="301" t="n"/>
      <c r="I121" s="301" t="n"/>
      <c r="J121" s="301" t="n"/>
      <c r="K121" s="301" t="n"/>
      <c r="L121" s="301" t="n"/>
      <c r="M121" s="301" t="n"/>
      <c r="N121" s="301" t="n"/>
      <c r="O121" s="301" t="n"/>
      <c r="P121" s="301" t="n"/>
      <c r="Q121" s="301" t="n"/>
      <c r="R121" s="301" t="n"/>
      <c r="S121" s="301" t="n"/>
      <c r="T121" s="301" t="n"/>
      <c r="U121" s="301" t="n"/>
      <c r="V121" s="301" t="n"/>
      <c r="W121" s="301" t="n"/>
      <c r="X121" s="301" t="n"/>
      <c r="Y121" s="301" t="n"/>
      <c r="Z121" s="301" t="n"/>
      <c r="AA121" s="301" t="n"/>
      <c r="AB121" s="301" t="n"/>
      <c r="AC121" s="301" t="n"/>
      <c r="AD121" s="301" t="n"/>
      <c r="AE121" s="301" t="n"/>
      <c r="AF121" s="301" t="n"/>
      <c r="AG121" s="301" t="n"/>
    </row>
    <row r="122">
      <c r="A122" s="301" t="n"/>
      <c r="B122" s="301" t="n"/>
      <c r="C122" s="301" t="n"/>
      <c r="D122" s="301" t="n"/>
      <c r="E122" s="301" t="n"/>
      <c r="F122" s="301" t="n"/>
      <c r="G122" s="301" t="n"/>
      <c r="H122" s="301" t="n"/>
      <c r="I122" s="301" t="n"/>
      <c r="J122" s="301" t="n"/>
      <c r="K122" s="301" t="n"/>
      <c r="L122" s="301" t="n"/>
      <c r="M122" s="301" t="n"/>
      <c r="N122" s="301" t="n"/>
      <c r="O122" s="301" t="n"/>
      <c r="P122" s="301" t="n"/>
      <c r="Q122" s="301" t="n"/>
      <c r="R122" s="301" t="n"/>
      <c r="S122" s="301" t="n"/>
      <c r="T122" s="301" t="n"/>
      <c r="U122" s="301" t="n"/>
      <c r="V122" s="301" t="n"/>
      <c r="W122" s="301" t="n"/>
      <c r="X122" s="301" t="n"/>
      <c r="Y122" s="301" t="n"/>
      <c r="Z122" s="301" t="n"/>
      <c r="AA122" s="301" t="n"/>
      <c r="AB122" s="301" t="n"/>
      <c r="AC122" s="301" t="n"/>
      <c r="AD122" s="301" t="n"/>
      <c r="AE122" s="301" t="n"/>
      <c r="AF122" s="301" t="n"/>
      <c r="AG122" s="301" t="n"/>
    </row>
    <row r="123">
      <c r="A123" s="301" t="n"/>
      <c r="B123" s="301" t="n"/>
      <c r="C123" s="301" t="n"/>
      <c r="D123" s="301" t="n"/>
      <c r="E123" s="301" t="n"/>
      <c r="F123" s="301" t="n"/>
      <c r="G123" s="301" t="n"/>
      <c r="H123" s="301" t="n"/>
      <c r="I123" s="301" t="n"/>
      <c r="J123" s="301" t="n"/>
      <c r="K123" s="301" t="n"/>
      <c r="L123" s="301" t="n"/>
      <c r="M123" s="301" t="n"/>
      <c r="N123" s="301" t="n"/>
      <c r="O123" s="301" t="n"/>
      <c r="P123" s="301" t="n"/>
      <c r="Q123" s="301" t="n"/>
      <c r="R123" s="301" t="n"/>
      <c r="S123" s="301" t="n"/>
      <c r="T123" s="301" t="n"/>
      <c r="U123" s="301" t="n"/>
      <c r="V123" s="301" t="n"/>
      <c r="W123" s="301" t="n"/>
      <c r="X123" s="301" t="n"/>
      <c r="Y123" s="301" t="n"/>
      <c r="Z123" s="301" t="n"/>
      <c r="AA123" s="301" t="n"/>
      <c r="AB123" s="301" t="n"/>
      <c r="AC123" s="301" t="n"/>
      <c r="AD123" s="301" t="n"/>
      <c r="AE123" s="301" t="n"/>
      <c r="AF123" s="301" t="n"/>
      <c r="AG123" s="301" t="n"/>
    </row>
    <row r="124">
      <c r="A124" s="301" t="n"/>
      <c r="B124" s="301" t="n"/>
      <c r="C124" s="301" t="n"/>
      <c r="D124" s="301" t="n"/>
      <c r="E124" s="301" t="n"/>
      <c r="F124" s="301" t="n"/>
      <c r="G124" s="301" t="n"/>
      <c r="H124" s="301" t="n"/>
      <c r="I124" s="301" t="n"/>
      <c r="J124" s="301" t="n"/>
      <c r="K124" s="301" t="n"/>
      <c r="L124" s="301" t="n"/>
      <c r="M124" s="301" t="n"/>
      <c r="N124" s="301" t="n"/>
      <c r="O124" s="301" t="n"/>
      <c r="P124" s="301" t="n"/>
      <c r="Q124" s="301" t="n"/>
      <c r="R124" s="301" t="n"/>
      <c r="S124" s="301" t="n"/>
      <c r="T124" s="301" t="n"/>
      <c r="U124" s="301" t="n"/>
      <c r="V124" s="301" t="n"/>
      <c r="W124" s="301" t="n"/>
      <c r="X124" s="301" t="n"/>
      <c r="Y124" s="301" t="n"/>
      <c r="Z124" s="301" t="n"/>
      <c r="AA124" s="301" t="n"/>
      <c r="AB124" s="301" t="n"/>
      <c r="AC124" s="301" t="n"/>
      <c r="AD124" s="301" t="n"/>
      <c r="AE124" s="301" t="n"/>
      <c r="AF124" s="301" t="n"/>
      <c r="AG124" s="301" t="n"/>
    </row>
    <row r="125">
      <c r="A125" s="301" t="n"/>
      <c r="B125" s="301" t="n"/>
      <c r="C125" s="301" t="n"/>
      <c r="D125" s="301" t="n"/>
      <c r="E125" s="301" t="n"/>
      <c r="F125" s="301" t="n"/>
      <c r="G125" s="301" t="n"/>
      <c r="H125" s="301" t="n"/>
      <c r="I125" s="301" t="n"/>
      <c r="J125" s="301" t="n"/>
      <c r="K125" s="301" t="n"/>
      <c r="L125" s="301" t="n"/>
      <c r="M125" s="301" t="n"/>
      <c r="N125" s="301" t="n"/>
      <c r="O125" s="301" t="n"/>
      <c r="P125" s="301" t="n"/>
      <c r="Q125" s="301" t="n"/>
      <c r="R125" s="301" t="n"/>
      <c r="S125" s="301" t="n"/>
      <c r="T125" s="301" t="n"/>
      <c r="U125" s="301" t="n"/>
      <c r="V125" s="301" t="n"/>
      <c r="W125" s="301" t="n"/>
      <c r="X125" s="301" t="n"/>
      <c r="Y125" s="301" t="n"/>
      <c r="Z125" s="301" t="n"/>
      <c r="AA125" s="301" t="n"/>
      <c r="AB125" s="301" t="n"/>
      <c r="AC125" s="301" t="n"/>
      <c r="AD125" s="301" t="n"/>
      <c r="AE125" s="301" t="n"/>
      <c r="AF125" s="301" t="n"/>
      <c r="AG125" s="301" t="n"/>
    </row>
    <row r="126">
      <c r="A126" s="301" t="n"/>
      <c r="B126" s="301" t="n"/>
      <c r="C126" s="301" t="n"/>
      <c r="D126" s="301" t="n"/>
      <c r="E126" s="301" t="n"/>
      <c r="F126" s="301" t="n"/>
      <c r="G126" s="301" t="n"/>
      <c r="H126" s="301" t="n"/>
      <c r="I126" s="301" t="n"/>
      <c r="J126" s="301" t="n"/>
      <c r="K126" s="301" t="n"/>
      <c r="L126" s="301" t="n"/>
      <c r="M126" s="301" t="n"/>
      <c r="N126" s="301" t="n"/>
      <c r="O126" s="301" t="n"/>
      <c r="P126" s="301" t="n"/>
      <c r="Q126" s="301" t="n"/>
      <c r="R126" s="301" t="n"/>
      <c r="S126" s="301" t="n"/>
      <c r="T126" s="301" t="n"/>
      <c r="U126" s="301" t="n"/>
      <c r="V126" s="301" t="n"/>
      <c r="W126" s="301" t="n"/>
      <c r="X126" s="301" t="n"/>
      <c r="Y126" s="301" t="n"/>
      <c r="Z126" s="301" t="n"/>
      <c r="AA126" s="301" t="n"/>
      <c r="AB126" s="301" t="n"/>
      <c r="AC126" s="301" t="n"/>
      <c r="AD126" s="301" t="n"/>
      <c r="AE126" s="301" t="n"/>
      <c r="AF126" s="301" t="n"/>
      <c r="AG126" s="301" t="n"/>
    </row>
    <row r="127">
      <c r="A127" s="301" t="n"/>
      <c r="B127" s="301" t="n"/>
      <c r="C127" s="301" t="n"/>
      <c r="D127" s="301" t="n"/>
      <c r="E127" s="301" t="n"/>
      <c r="F127" s="301" t="n"/>
      <c r="G127" s="301" t="n"/>
      <c r="H127" s="301" t="n"/>
      <c r="I127" s="301" t="n"/>
      <c r="J127" s="301" t="n"/>
      <c r="K127" s="301" t="n"/>
      <c r="L127" s="301" t="n"/>
      <c r="M127" s="301" t="n"/>
      <c r="N127" s="301" t="n"/>
      <c r="O127" s="301" t="n"/>
      <c r="P127" s="301" t="n"/>
      <c r="Q127" s="301" t="n"/>
      <c r="R127" s="301" t="n"/>
      <c r="S127" s="301" t="n"/>
      <c r="T127" s="301" t="n"/>
      <c r="U127" s="301" t="n"/>
      <c r="V127" s="301" t="n"/>
      <c r="W127" s="301" t="n"/>
      <c r="X127" s="301" t="n"/>
      <c r="Y127" s="301" t="n"/>
      <c r="Z127" s="301" t="n"/>
      <c r="AA127" s="301" t="n"/>
      <c r="AB127" s="301" t="n"/>
      <c r="AC127" s="301" t="n"/>
      <c r="AD127" s="301" t="n"/>
      <c r="AE127" s="301" t="n"/>
      <c r="AF127" s="301" t="n"/>
      <c r="AG127" s="301" t="n"/>
    </row>
    <row r="128">
      <c r="A128" s="301" t="n"/>
      <c r="B128" s="301" t="n"/>
      <c r="C128" s="301" t="n"/>
      <c r="D128" s="301" t="n"/>
      <c r="E128" s="301" t="n"/>
      <c r="F128" s="301" t="n"/>
      <c r="G128" s="301" t="n"/>
      <c r="H128" s="301" t="n"/>
      <c r="I128" s="301" t="n"/>
      <c r="J128" s="301" t="n"/>
      <c r="K128" s="301" t="n"/>
      <c r="L128" s="301" t="n"/>
      <c r="M128" s="301" t="n"/>
      <c r="N128" s="301" t="n"/>
      <c r="O128" s="301" t="n"/>
      <c r="P128" s="301" t="n"/>
      <c r="Q128" s="301" t="n"/>
      <c r="R128" s="301" t="n"/>
      <c r="S128" s="301" t="n"/>
      <c r="T128" s="301" t="n"/>
      <c r="U128" s="301" t="n"/>
      <c r="V128" s="301" t="n"/>
      <c r="W128" s="301" t="n"/>
      <c r="X128" s="301" t="n"/>
      <c r="Y128" s="301" t="n"/>
      <c r="Z128" s="301" t="n"/>
      <c r="AA128" s="301" t="n"/>
      <c r="AB128" s="301" t="n"/>
      <c r="AC128" s="301" t="n"/>
      <c r="AD128" s="301" t="n"/>
      <c r="AE128" s="301" t="n"/>
      <c r="AF128" s="301" t="n"/>
      <c r="AG128" s="301" t="n"/>
    </row>
    <row r="129">
      <c r="A129" s="301" t="n"/>
      <c r="B129" s="301" t="n"/>
      <c r="C129" s="301" t="n"/>
      <c r="D129" s="301" t="n"/>
      <c r="E129" s="301" t="n"/>
      <c r="F129" s="301" t="n"/>
      <c r="G129" s="301" t="n"/>
      <c r="H129" s="301" t="n"/>
      <c r="I129" s="301" t="n"/>
      <c r="J129" s="301" t="n"/>
      <c r="K129" s="301" t="n"/>
      <c r="L129" s="301" t="n"/>
      <c r="M129" s="301" t="n"/>
      <c r="N129" s="301" t="n"/>
      <c r="O129" s="301" t="n"/>
      <c r="P129" s="301" t="n"/>
      <c r="Q129" s="301" t="n"/>
      <c r="R129" s="301" t="n"/>
      <c r="S129" s="301" t="n"/>
      <c r="T129" s="301" t="n"/>
      <c r="U129" s="301" t="n"/>
      <c r="V129" s="301" t="n"/>
      <c r="W129" s="301" t="n"/>
      <c r="X129" s="301" t="n"/>
      <c r="Y129" s="301" t="n"/>
      <c r="Z129" s="301" t="n"/>
      <c r="AA129" s="301" t="n"/>
      <c r="AB129" s="301" t="n"/>
      <c r="AC129" s="301" t="n"/>
      <c r="AD129" s="301" t="n"/>
      <c r="AE129" s="301" t="n"/>
      <c r="AF129" s="301" t="n"/>
      <c r="AG129" s="301" t="n"/>
    </row>
    <row r="130">
      <c r="A130" s="301" t="n"/>
      <c r="B130" s="301" t="n"/>
      <c r="C130" s="301" t="n"/>
      <c r="D130" s="301" t="n"/>
      <c r="E130" s="301" t="n"/>
      <c r="F130" s="301" t="n"/>
      <c r="G130" s="301" t="n"/>
      <c r="H130" s="301" t="n"/>
      <c r="I130" s="301" t="n"/>
      <c r="J130" s="301" t="n"/>
      <c r="K130" s="301" t="n"/>
      <c r="L130" s="301" t="n"/>
      <c r="M130" s="301" t="n"/>
      <c r="N130" s="301" t="n"/>
      <c r="O130" s="301" t="n"/>
      <c r="P130" s="301" t="n"/>
      <c r="Q130" s="301" t="n"/>
      <c r="R130" s="301" t="n"/>
      <c r="S130" s="301" t="n"/>
      <c r="T130" s="301" t="n"/>
      <c r="U130" s="301" t="n"/>
      <c r="V130" s="301" t="n"/>
      <c r="W130" s="301" t="n"/>
      <c r="X130" s="301" t="n"/>
      <c r="Y130" s="301" t="n"/>
      <c r="Z130" s="301" t="n"/>
      <c r="AA130" s="301" t="n"/>
      <c r="AB130" s="301" t="n"/>
      <c r="AC130" s="301" t="n"/>
      <c r="AD130" s="301" t="n"/>
      <c r="AE130" s="301" t="n"/>
      <c r="AF130" s="301" t="n"/>
      <c r="AG130" s="301" t="n"/>
    </row>
    <row r="131">
      <c r="A131" s="301" t="n"/>
      <c r="B131" s="301" t="n"/>
      <c r="C131" s="301" t="n"/>
      <c r="D131" s="301" t="n"/>
      <c r="E131" s="301" t="n"/>
      <c r="F131" s="301" t="n"/>
      <c r="G131" s="301" t="n"/>
      <c r="H131" s="301" t="n"/>
      <c r="I131" s="301" t="n"/>
      <c r="J131" s="301" t="n"/>
      <c r="K131" s="301" t="n"/>
      <c r="L131" s="301" t="n"/>
      <c r="M131" s="301" t="n"/>
      <c r="N131" s="301" t="n"/>
      <c r="O131" s="301" t="n"/>
      <c r="P131" s="301" t="n"/>
      <c r="Q131" s="301" t="n"/>
      <c r="R131" s="301" t="n"/>
      <c r="S131" s="301" t="n"/>
      <c r="T131" s="301" t="n"/>
      <c r="U131" s="301" t="n"/>
      <c r="V131" s="301" t="n"/>
      <c r="W131" s="301" t="n"/>
      <c r="X131" s="301" t="n"/>
      <c r="Y131" s="301" t="n"/>
      <c r="Z131" s="301" t="n"/>
      <c r="AA131" s="301" t="n"/>
      <c r="AB131" s="301" t="n"/>
      <c r="AC131" s="301" t="n"/>
      <c r="AD131" s="301" t="n"/>
      <c r="AE131" s="301" t="n"/>
      <c r="AF131" s="301" t="n"/>
      <c r="AG131" s="301" t="n"/>
    </row>
    <row r="132">
      <c r="A132" s="301" t="n"/>
      <c r="B132" s="301" t="n"/>
      <c r="C132" s="301" t="n"/>
      <c r="D132" s="301" t="n"/>
      <c r="E132" s="301" t="n"/>
      <c r="F132" s="301" t="n"/>
      <c r="G132" s="301" t="n"/>
      <c r="H132" s="301" t="n"/>
      <c r="I132" s="301" t="n"/>
      <c r="J132" s="301" t="n"/>
      <c r="K132" s="301" t="n"/>
      <c r="L132" s="301" t="n"/>
      <c r="M132" s="301" t="n"/>
      <c r="N132" s="301" t="n"/>
      <c r="O132" s="301" t="n"/>
      <c r="P132" s="301" t="n"/>
      <c r="Q132" s="301" t="n"/>
      <c r="R132" s="301" t="n"/>
      <c r="S132" s="301" t="n"/>
      <c r="T132" s="301" t="n"/>
      <c r="U132" s="301" t="n"/>
      <c r="V132" s="301" t="n"/>
      <c r="W132" s="301" t="n"/>
      <c r="X132" s="301" t="n"/>
      <c r="Y132" s="301" t="n"/>
      <c r="Z132" s="301" t="n"/>
      <c r="AA132" s="301" t="n"/>
      <c r="AB132" s="301" t="n"/>
      <c r="AC132" s="301" t="n"/>
      <c r="AD132" s="301" t="n"/>
      <c r="AE132" s="301" t="n"/>
      <c r="AF132" s="301" t="n"/>
      <c r="AG132" s="301" t="n"/>
    </row>
    <row r="133">
      <c r="A133" s="301" t="n"/>
      <c r="B133" s="301" t="n"/>
      <c r="C133" s="301" t="n"/>
      <c r="D133" s="301" t="n"/>
      <c r="E133" s="301" t="n"/>
      <c r="F133" s="301" t="n"/>
      <c r="G133" s="301" t="n"/>
      <c r="H133" s="301" t="n"/>
      <c r="I133" s="301" t="n"/>
      <c r="J133" s="301" t="n"/>
      <c r="K133" s="301" t="n"/>
      <c r="L133" s="301" t="n"/>
      <c r="M133" s="301" t="n"/>
      <c r="N133" s="301" t="n"/>
      <c r="O133" s="301" t="n"/>
      <c r="P133" s="301" t="n"/>
      <c r="Q133" s="301" t="n"/>
      <c r="R133" s="301" t="n"/>
      <c r="S133" s="301" t="n"/>
      <c r="T133" s="301" t="n"/>
      <c r="U133" s="301" t="n"/>
      <c r="V133" s="301" t="n"/>
      <c r="W133" s="301" t="n"/>
      <c r="X133" s="301" t="n"/>
      <c r="Y133" s="301" t="n"/>
      <c r="Z133" s="301" t="n"/>
      <c r="AA133" s="301" t="n"/>
      <c r="AB133" s="301" t="n"/>
      <c r="AC133" s="301" t="n"/>
      <c r="AD133" s="301" t="n"/>
      <c r="AE133" s="301" t="n"/>
      <c r="AF133" s="301" t="n"/>
      <c r="AG133" s="301" t="n"/>
    </row>
    <row r="134">
      <c r="A134" s="301" t="n"/>
      <c r="B134" s="301" t="n"/>
      <c r="C134" s="301" t="n"/>
      <c r="D134" s="301" t="n"/>
      <c r="E134" s="301" t="n"/>
      <c r="F134" s="301" t="n"/>
      <c r="G134" s="301" t="n"/>
      <c r="H134" s="301" t="n"/>
      <c r="I134" s="301" t="n"/>
      <c r="J134" s="301" t="n"/>
      <c r="K134" s="301" t="n"/>
      <c r="L134" s="301" t="n"/>
      <c r="M134" s="301" t="n"/>
      <c r="N134" s="301" t="n"/>
      <c r="O134" s="301" t="n"/>
      <c r="P134" s="301" t="n"/>
      <c r="Q134" s="301" t="n"/>
      <c r="R134" s="301" t="n"/>
      <c r="S134" s="301" t="n"/>
      <c r="T134" s="301" t="n"/>
      <c r="U134" s="301" t="n"/>
      <c r="V134" s="301" t="n"/>
      <c r="W134" s="301" t="n"/>
      <c r="X134" s="301" t="n"/>
      <c r="Y134" s="301" t="n"/>
      <c r="Z134" s="301" t="n"/>
      <c r="AA134" s="301" t="n"/>
      <c r="AB134" s="301" t="n"/>
      <c r="AC134" s="301" t="n"/>
      <c r="AD134" s="301" t="n"/>
      <c r="AE134" s="301" t="n"/>
      <c r="AF134" s="301" t="n"/>
      <c r="AG134" s="301" t="n"/>
    </row>
    <row r="135">
      <c r="A135" s="301" t="n"/>
      <c r="B135" s="301" t="n"/>
      <c r="C135" s="301" t="n"/>
      <c r="D135" s="301" t="n"/>
      <c r="E135" s="301" t="n"/>
      <c r="F135" s="301" t="n"/>
      <c r="G135" s="301" t="n"/>
      <c r="H135" s="301" t="n"/>
      <c r="I135" s="301" t="n"/>
      <c r="J135" s="301" t="n"/>
      <c r="K135" s="301" t="n"/>
      <c r="L135" s="301" t="n"/>
      <c r="M135" s="301" t="n"/>
      <c r="N135" s="301" t="n"/>
      <c r="O135" s="301" t="n"/>
      <c r="P135" s="301" t="n"/>
      <c r="Q135" s="301" t="n"/>
      <c r="R135" s="301" t="n"/>
      <c r="S135" s="301" t="n"/>
      <c r="T135" s="301" t="n"/>
      <c r="U135" s="301" t="n"/>
      <c r="V135" s="301" t="n"/>
      <c r="W135" s="301" t="n"/>
      <c r="X135" s="301" t="n"/>
      <c r="Y135" s="301" t="n"/>
      <c r="Z135" s="301" t="n"/>
      <c r="AA135" s="301" t="n"/>
      <c r="AB135" s="301" t="n"/>
      <c r="AC135" s="301" t="n"/>
      <c r="AD135" s="301" t="n"/>
      <c r="AE135" s="301" t="n"/>
      <c r="AF135" s="301" t="n"/>
      <c r="AG135" s="301" t="n"/>
    </row>
    <row r="136">
      <c r="A136" s="301" t="n"/>
      <c r="B136" s="301" t="n"/>
      <c r="C136" s="301" t="n"/>
      <c r="D136" s="301" t="n"/>
      <c r="E136" s="301" t="n"/>
      <c r="F136" s="301" t="n"/>
      <c r="G136" s="301" t="n"/>
      <c r="H136" s="301" t="n"/>
      <c r="I136" s="301" t="n"/>
      <c r="J136" s="301" t="n"/>
      <c r="K136" s="301" t="n"/>
      <c r="L136" s="301" t="n"/>
      <c r="M136" s="301" t="n"/>
      <c r="N136" s="301" t="n"/>
      <c r="O136" s="301" t="n"/>
      <c r="P136" s="301" t="n"/>
      <c r="Q136" s="301" t="n"/>
      <c r="R136" s="301" t="n"/>
      <c r="S136" s="301" t="n"/>
      <c r="T136" s="301" t="n"/>
      <c r="U136" s="301" t="n"/>
      <c r="V136" s="301" t="n"/>
      <c r="W136" s="301" t="n"/>
      <c r="X136" s="301" t="n"/>
      <c r="Y136" s="301" t="n"/>
      <c r="Z136" s="301" t="n"/>
      <c r="AA136" s="301" t="n"/>
      <c r="AB136" s="301" t="n"/>
      <c r="AC136" s="301" t="n"/>
      <c r="AD136" s="301" t="n"/>
      <c r="AE136" s="301" t="n"/>
      <c r="AF136" s="301" t="n"/>
      <c r="AG136" s="301" t="n"/>
    </row>
    <row r="137">
      <c r="A137" s="301" t="n"/>
      <c r="B137" s="301" t="n"/>
      <c r="C137" s="301" t="n"/>
      <c r="D137" s="301" t="n"/>
      <c r="E137" s="301" t="n"/>
      <c r="F137" s="301" t="n"/>
      <c r="G137" s="301" t="n"/>
      <c r="H137" s="301" t="n"/>
      <c r="I137" s="301" t="n"/>
      <c r="J137" s="301" t="n"/>
      <c r="K137" s="301" t="n"/>
      <c r="L137" s="301" t="n"/>
      <c r="M137" s="301" t="n"/>
      <c r="N137" s="301" t="n"/>
      <c r="O137" s="301" t="n"/>
      <c r="P137" s="301" t="n"/>
      <c r="Q137" s="301" t="n"/>
      <c r="R137" s="301" t="n"/>
      <c r="S137" s="301" t="n"/>
      <c r="T137" s="301" t="n"/>
      <c r="U137" s="301" t="n"/>
      <c r="V137" s="301" t="n"/>
      <c r="W137" s="301" t="n"/>
      <c r="X137" s="301" t="n"/>
      <c r="Y137" s="301" t="n"/>
      <c r="Z137" s="301" t="n"/>
      <c r="AA137" s="301" t="n"/>
      <c r="AB137" s="301" t="n"/>
      <c r="AC137" s="301" t="n"/>
      <c r="AD137" s="301" t="n"/>
      <c r="AE137" s="301" t="n"/>
      <c r="AF137" s="301" t="n"/>
      <c r="AG137" s="301" t="n"/>
    </row>
    <row r="138">
      <c r="A138" s="301" t="n"/>
      <c r="B138" s="301" t="n"/>
      <c r="C138" s="301" t="n"/>
      <c r="D138" s="301" t="n"/>
      <c r="E138" s="301" t="n"/>
      <c r="F138" s="301" t="n"/>
      <c r="G138" s="301" t="n"/>
      <c r="H138" s="301" t="n"/>
      <c r="I138" s="301" t="n"/>
      <c r="J138" s="301" t="n"/>
      <c r="K138" s="301" t="n"/>
      <c r="L138" s="301" t="n"/>
      <c r="M138" s="301" t="n"/>
      <c r="N138" s="301" t="n"/>
      <c r="O138" s="301" t="n"/>
      <c r="P138" s="301" t="n"/>
      <c r="Q138" s="301" t="n"/>
      <c r="R138" s="301" t="n"/>
      <c r="S138" s="301" t="n"/>
      <c r="T138" s="301" t="n"/>
      <c r="U138" s="301" t="n"/>
      <c r="V138" s="301" t="n"/>
      <c r="W138" s="301" t="n"/>
      <c r="X138" s="301" t="n"/>
      <c r="Y138" s="301" t="n"/>
      <c r="Z138" s="301" t="n"/>
      <c r="AA138" s="301" t="n"/>
      <c r="AB138" s="301" t="n"/>
      <c r="AC138" s="301" t="n"/>
      <c r="AD138" s="301" t="n"/>
      <c r="AE138" s="301" t="n"/>
      <c r="AF138" s="301" t="n"/>
      <c r="AG138" s="301" t="n"/>
    </row>
    <row r="139">
      <c r="A139" s="301" t="n"/>
      <c r="B139" s="301" t="n"/>
      <c r="C139" s="301" t="n"/>
      <c r="D139" s="301" t="n"/>
      <c r="E139" s="301" t="n"/>
      <c r="F139" s="301" t="n"/>
      <c r="G139" s="301" t="n"/>
      <c r="H139" s="301" t="n"/>
      <c r="I139" s="301" t="n"/>
      <c r="J139" s="301" t="n"/>
      <c r="K139" s="301" t="n"/>
      <c r="L139" s="301" t="n"/>
      <c r="M139" s="301" t="n"/>
      <c r="N139" s="301" t="n"/>
      <c r="O139" s="301" t="n"/>
      <c r="P139" s="301" t="n"/>
      <c r="Q139" s="301" t="n"/>
      <c r="R139" s="301" t="n"/>
      <c r="S139" s="301" t="n"/>
      <c r="T139" s="301" t="n"/>
      <c r="U139" s="301" t="n"/>
      <c r="V139" s="301" t="n"/>
      <c r="W139" s="301" t="n"/>
      <c r="X139" s="301" t="n"/>
      <c r="Y139" s="301" t="n"/>
      <c r="Z139" s="301" t="n"/>
      <c r="AA139" s="301" t="n"/>
      <c r="AB139" s="301" t="n"/>
      <c r="AC139" s="301" t="n"/>
      <c r="AD139" s="301" t="n"/>
      <c r="AE139" s="301" t="n"/>
      <c r="AF139" s="301" t="n"/>
      <c r="AG139" s="301" t="n"/>
    </row>
    <row r="140">
      <c r="A140" s="301" t="n"/>
      <c r="B140" s="301" t="n"/>
      <c r="C140" s="301" t="n"/>
      <c r="D140" s="301" t="n"/>
      <c r="E140" s="301" t="n"/>
      <c r="F140" s="301" t="n"/>
      <c r="G140" s="301" t="n"/>
      <c r="H140" s="301" t="n"/>
      <c r="I140" s="301" t="n"/>
      <c r="J140" s="301" t="n"/>
      <c r="K140" s="301" t="n"/>
      <c r="L140" s="301" t="n"/>
      <c r="M140" s="301" t="n"/>
      <c r="N140" s="301" t="n"/>
      <c r="O140" s="301" t="n"/>
      <c r="P140" s="301" t="n"/>
      <c r="Q140" s="301" t="n"/>
      <c r="R140" s="301" t="n"/>
      <c r="S140" s="301" t="n"/>
      <c r="T140" s="301" t="n"/>
      <c r="U140" s="301" t="n"/>
      <c r="V140" s="301" t="n"/>
      <c r="W140" s="301" t="n"/>
      <c r="X140" s="301" t="n"/>
      <c r="Y140" s="301" t="n"/>
      <c r="Z140" s="301" t="n"/>
      <c r="AA140" s="301" t="n"/>
      <c r="AB140" s="301" t="n"/>
      <c r="AC140" s="301" t="n"/>
      <c r="AD140" s="301" t="n"/>
      <c r="AE140" s="301" t="n"/>
      <c r="AF140" s="301" t="n"/>
      <c r="AG140" s="301" t="n"/>
    </row>
    <row r="141">
      <c r="A141" s="301" t="n"/>
      <c r="B141" s="301" t="n"/>
      <c r="C141" s="301" t="n"/>
      <c r="D141" s="301" t="n"/>
      <c r="E141" s="301" t="n"/>
      <c r="F141" s="301" t="n"/>
      <c r="G141" s="301" t="n"/>
      <c r="H141" s="301" t="n"/>
      <c r="I141" s="301" t="n"/>
      <c r="J141" s="301" t="n"/>
      <c r="K141" s="301" t="n"/>
      <c r="L141" s="301" t="n"/>
      <c r="M141" s="301" t="n"/>
      <c r="N141" s="301" t="n"/>
      <c r="O141" s="301" t="n"/>
      <c r="P141" s="301" t="n"/>
      <c r="Q141" s="301" t="n"/>
      <c r="R141" s="301" t="n"/>
      <c r="S141" s="301" t="n"/>
      <c r="T141" s="301" t="n"/>
      <c r="U141" s="301" t="n"/>
      <c r="V141" s="301" t="n"/>
      <c r="W141" s="301" t="n"/>
      <c r="X141" s="301" t="n"/>
      <c r="Y141" s="301" t="n"/>
      <c r="Z141" s="301" t="n"/>
      <c r="AA141" s="301" t="n"/>
      <c r="AB141" s="301" t="n"/>
      <c r="AC141" s="301" t="n"/>
      <c r="AD141" s="301" t="n"/>
      <c r="AE141" s="301" t="n"/>
      <c r="AF141" s="301" t="n"/>
      <c r="AG141" s="301" t="n"/>
    </row>
    <row r="142">
      <c r="A142" s="301" t="n"/>
      <c r="B142" s="301" t="n"/>
      <c r="C142" s="301" t="n"/>
      <c r="D142" s="301" t="n"/>
      <c r="E142" s="301" t="n"/>
      <c r="F142" s="301" t="n"/>
      <c r="G142" s="301" t="n"/>
      <c r="H142" s="301" t="n"/>
      <c r="I142" s="301" t="n"/>
      <c r="J142" s="301" t="n"/>
      <c r="K142" s="301" t="n"/>
      <c r="L142" s="301" t="n"/>
      <c r="M142" s="301" t="n"/>
      <c r="N142" s="301" t="n"/>
      <c r="O142" s="301" t="n"/>
      <c r="P142" s="301" t="n"/>
      <c r="Q142" s="301" t="n"/>
      <c r="R142" s="301" t="n"/>
      <c r="S142" s="301" t="n"/>
      <c r="T142" s="301" t="n"/>
      <c r="U142" s="301" t="n"/>
      <c r="V142" s="301" t="n"/>
      <c r="W142" s="301" t="n"/>
      <c r="X142" s="301" t="n"/>
      <c r="Y142" s="301" t="n"/>
      <c r="Z142" s="301" t="n"/>
      <c r="AA142" s="301" t="n"/>
      <c r="AB142" s="301" t="n"/>
      <c r="AC142" s="301" t="n"/>
      <c r="AD142" s="301" t="n"/>
      <c r="AE142" s="301" t="n"/>
      <c r="AF142" s="301" t="n"/>
      <c r="AG142" s="301" t="n"/>
    </row>
    <row r="143">
      <c r="A143" s="301" t="n"/>
      <c r="B143" s="301" t="n"/>
      <c r="C143" s="301" t="n"/>
      <c r="D143" s="301" t="n"/>
      <c r="E143" s="301" t="n"/>
      <c r="F143" s="301" t="n"/>
      <c r="G143" s="301" t="n"/>
      <c r="H143" s="301" t="n"/>
      <c r="I143" s="301" t="n"/>
      <c r="J143" s="301" t="n"/>
      <c r="K143" s="301" t="n"/>
      <c r="L143" s="301" t="n"/>
      <c r="M143" s="301" t="n"/>
      <c r="N143" s="301" t="n"/>
      <c r="O143" s="301" t="n"/>
      <c r="P143" s="301" t="n"/>
      <c r="Q143" s="301" t="n"/>
      <c r="R143" s="301" t="n"/>
      <c r="S143" s="301" t="n"/>
      <c r="T143" s="301" t="n"/>
      <c r="U143" s="301" t="n"/>
      <c r="V143" s="301" t="n"/>
      <c r="W143" s="301" t="n"/>
      <c r="X143" s="301" t="n"/>
      <c r="AA143" s="301" t="n"/>
      <c r="AB143" s="301" t="n"/>
      <c r="AC143" s="301" t="n"/>
      <c r="AD143" s="301" t="n"/>
      <c r="AE143" s="301" t="n"/>
      <c r="AF143" s="301" t="n"/>
      <c r="AG143" s="301" t="n"/>
    </row>
    <row r="144">
      <c r="A144" s="301" t="n"/>
      <c r="B144" s="301" t="n"/>
      <c r="C144" s="301" t="n"/>
      <c r="D144" s="301" t="n"/>
      <c r="E144" s="301" t="n"/>
      <c r="F144" s="301" t="n"/>
      <c r="G144" s="301" t="n"/>
      <c r="H144" s="301" t="n"/>
      <c r="I144" s="301" t="n"/>
      <c r="J144" s="301" t="n"/>
      <c r="K144" s="301" t="n"/>
      <c r="L144" s="301" t="n"/>
      <c r="M144" s="301" t="n"/>
      <c r="N144" s="301" t="n"/>
      <c r="O144" s="301" t="n"/>
      <c r="P144" s="301" t="n"/>
      <c r="Q144" s="301" t="n"/>
      <c r="R144" s="301" t="n"/>
      <c r="S144" s="301" t="n"/>
      <c r="T144" s="301" t="n"/>
      <c r="U144" s="301" t="n"/>
      <c r="V144" s="301" t="n"/>
      <c r="W144" s="301" t="n"/>
      <c r="X144" s="301" t="n"/>
      <c r="AA144" s="301" t="n"/>
      <c r="AB144" s="301" t="n"/>
      <c r="AC144" s="301" t="n"/>
      <c r="AD144" s="301" t="n"/>
      <c r="AE144" s="301" t="n"/>
      <c r="AF144" s="301" t="n"/>
      <c r="AG144" s="301" t="n"/>
    </row>
    <row r="145">
      <c r="A145" s="301" t="n"/>
      <c r="B145" s="301" t="n"/>
      <c r="C145" s="301" t="n"/>
      <c r="D145" s="301" t="n"/>
      <c r="E145" s="301" t="n"/>
      <c r="F145" s="301" t="n"/>
      <c r="G145" s="301" t="n"/>
      <c r="H145" s="301" t="n"/>
      <c r="I145" s="301" t="n"/>
      <c r="J145" s="301" t="n"/>
      <c r="K145" s="301" t="n"/>
      <c r="L145" s="301" t="n"/>
      <c r="M145" s="301" t="n"/>
      <c r="N145" s="301" t="n"/>
      <c r="O145" s="301" t="n"/>
      <c r="P145" s="301" t="n"/>
      <c r="Q145" s="301" t="n"/>
      <c r="R145" s="301" t="n"/>
      <c r="S145" s="301" t="n"/>
      <c r="T145" s="301" t="n"/>
      <c r="U145" s="301" t="n"/>
      <c r="V145" s="301" t="n"/>
      <c r="W145" s="301" t="n"/>
      <c r="X145" s="301" t="n"/>
    </row>
  </sheetData>
  <mergeCells count="2">
    <mergeCell ref="Z2:AF2"/>
    <mergeCell ref="A1:S1"/>
  </mergeCells>
  <dataValidations count="1">
    <dataValidation sqref="F41:H49 F17:H24 F53:H60 F29:H36 F5:H12" showErrorMessage="1" showInputMessage="1" allowBlank="0" type="list">
      <formula1>"1,2,3,4,5"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405" t="inlineStr">
        <is>
          <t>Categorie</t>
        </is>
      </c>
      <c r="B1" s="405" t="inlineStr">
        <is>
          <t>Volume (m³)</t>
        </is>
      </c>
    </row>
    <row r="2">
      <c r="A2" s="406" t="inlineStr">
        <is>
          <t>Totaal</t>
        </is>
      </c>
      <c r="B2" s="406">
        <f>SUM(B3:B12)</f>
        <v/>
      </c>
    </row>
    <row r="3">
      <c r="A3" t="inlineStr">
        <is>
          <t>Beton</t>
        </is>
      </c>
      <c r="B3">
        <f>'Beton-data'!B2</f>
        <v/>
      </c>
    </row>
    <row r="4">
      <c r="A4" t="inlineStr">
        <is>
          <t>Hout</t>
        </is>
      </c>
      <c r="B4">
        <f>'Hout-data'!B2</f>
        <v/>
      </c>
    </row>
    <row r="5">
      <c r="A5" t="inlineStr">
        <is>
          <t>Isolatie</t>
        </is>
      </c>
      <c r="B5">
        <f>'Isolatie-data'!B2</f>
        <v/>
      </c>
    </row>
    <row r="6">
      <c r="A6" t="inlineStr">
        <is>
          <t>Staal</t>
        </is>
      </c>
      <c r="B6">
        <f>'Staal-data'!B2</f>
        <v/>
      </c>
    </row>
    <row r="7">
      <c r="A7" t="inlineStr">
        <is>
          <t>Bitumen</t>
        </is>
      </c>
      <c r="B7">
        <f>'Bitumen-data'!B2</f>
        <v/>
      </c>
    </row>
    <row r="8">
      <c r="A8" t="inlineStr">
        <is>
          <t>Koper</t>
        </is>
      </c>
      <c r="B8">
        <f>'Koper-data'!B2</f>
        <v/>
      </c>
    </row>
    <row r="9">
      <c r="A9" t="inlineStr">
        <is>
          <t>Aluminium</t>
        </is>
      </c>
      <c r="B9">
        <f>'Aluminium-data'!B2</f>
        <v/>
      </c>
    </row>
    <row r="10">
      <c r="A10" t="inlineStr">
        <is>
          <t>Keramiek</t>
        </is>
      </c>
      <c r="B10">
        <f>'Keramiek-data'!B2</f>
        <v/>
      </c>
    </row>
    <row r="11">
      <c r="A11" t="inlineStr">
        <is>
          <t>Afwerking</t>
        </is>
      </c>
      <c r="B11">
        <f>'Afwerking-data'!B2</f>
        <v/>
      </c>
    </row>
    <row r="12">
      <c r="A12" t="inlineStr">
        <is>
          <t>Overig</t>
        </is>
      </c>
      <c r="B12">
        <f>'Overig-data'!B2</f>
        <v/>
      </c>
    </row>
  </sheetData>
  <pageMargins left="0.75" right="0.75" top="1" bottom="1" header="0.5" footer="0.5"/>
</worksheet>
</file>

<file path=xl/worksheets/sheet4.xml><?xml version="1.0" encoding="utf-8"?>
<worksheet xmlns:r="http://schemas.openxmlformats.org/officeDocument/2006/relationships" xmlns="http://schemas.openxmlformats.org/spreadsheetml/2006/main">
  <sheetPr>
    <tabColor theme="6" tint="0.7999816888943144"/>
    <outlinePr summaryBelow="1" summaryRight="1"/>
    <pageSetUpPr/>
  </sheetPr>
  <dimension ref="A1:Z22"/>
  <sheetViews>
    <sheetView topLeftCell="L1" zoomScale="89" zoomScaleNormal="90" workbookViewId="0">
      <selection activeCell="U6" sqref="U6"/>
    </sheetView>
  </sheetViews>
  <sheetFormatPr baseColWidth="8" defaultColWidth="8.796875" defaultRowHeight="14.25"/>
  <cols>
    <col width="17.1328125" customWidth="1" min="1" max="2"/>
    <col width="29.796875" customWidth="1" min="3" max="3"/>
    <col width="18.1328125" customWidth="1" min="4" max="4"/>
    <col width="19.46484375" customWidth="1" min="5" max="5"/>
    <col width="20.46484375" customWidth="1" min="6" max="6"/>
    <col width="20" customWidth="1" min="7" max="7"/>
    <col width="19.796875" customWidth="1" min="8" max="8"/>
    <col width="16.1328125" customWidth="1" min="9" max="9"/>
    <col width="15.46484375" customWidth="1" min="10" max="11"/>
    <col width="22.1328125" customWidth="1" min="12" max="12"/>
    <col width="14.796875" customWidth="1" min="13" max="13"/>
    <col width="18.46484375" customWidth="1" min="14" max="14"/>
    <col width="14.1328125" customWidth="1" min="15" max="15"/>
    <col width="17.53125" customWidth="1" min="16" max="16"/>
    <col width="15.46484375" customWidth="1" min="17" max="17"/>
    <col width="16.1328125" customWidth="1" min="18" max="18"/>
    <col width="11.46484375" customWidth="1" min="19" max="19"/>
    <col width="12.46484375" customWidth="1" min="20" max="20"/>
    <col width="17.53125" customWidth="1" min="21" max="21"/>
    <col width="17.796875" customWidth="1" min="22" max="23"/>
    <col width="35.46484375" customWidth="1" min="24" max="24"/>
    <col width="31.796875" bestFit="1" customWidth="1" min="25" max="25"/>
    <col width="50.796875" bestFit="1" customWidth="1" min="26" max="26"/>
    <col width="8.796875" customWidth="1" min="28" max="28"/>
  </cols>
  <sheetData>
    <row r="1" ht="17.25" customHeight="1" thickBot="1">
      <c r="A1" s="375" t="inlineStr">
        <is>
          <t>Materiaal gegevens</t>
        </is>
      </c>
      <c r="F1" s="374" t="inlineStr">
        <is>
          <t>Recovery rate</t>
        </is>
      </c>
      <c r="N1" s="376" t="inlineStr">
        <is>
          <t>Klimaatimpact</t>
        </is>
      </c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374" t="inlineStr">
        <is>
          <t>Fincancieel</t>
        </is>
      </c>
    </row>
    <row r="2" ht="52.8" customFormat="1" customHeight="1" s="126" thickBot="1">
      <c r="A2" s="6" t="inlineStr">
        <is>
          <t>Materiaal-ID</t>
        </is>
      </c>
      <c r="B2" s="6" t="inlineStr">
        <is>
          <t>Element</t>
        </is>
      </c>
      <c r="C2" s="6" t="inlineStr">
        <is>
          <t>Materiaalcategorie</t>
        </is>
      </c>
      <c r="D2" s="356" t="inlineStr">
        <is>
          <t>Volume (m3)</t>
        </is>
      </c>
      <c r="E2" s="356" t="inlineStr">
        <is>
          <t>Demonteerbaarheid</t>
        </is>
      </c>
      <c r="F2" s="356" t="inlineStr">
        <is>
          <t xml:space="preserve">Materiaalconditie </t>
        </is>
      </c>
      <c r="G2" s="356" t="inlineStr">
        <is>
          <t xml:space="preserve">Marktpotentie </t>
        </is>
      </c>
      <c r="H2" s="6" t="inlineStr">
        <is>
          <t>Gem. score</t>
        </is>
      </c>
      <c r="I2" s="6" t="inlineStr">
        <is>
          <t>Geschatte recovery rate (%)</t>
        </is>
      </c>
      <c r="J2" s="6" t="inlineStr">
        <is>
          <t>Hout klasse</t>
        </is>
      </c>
      <c r="K2" s="6" t="inlineStr">
        <is>
          <t>Routeadvies</t>
        </is>
      </c>
      <c r="L2" s="122" t="inlineStr">
        <is>
          <t>Hoog-/laagwaardig</t>
        </is>
      </c>
      <c r="M2" s="6" t="inlineStr">
        <is>
          <t>CO2-nieuw (kg)</t>
        </is>
      </c>
      <c r="N2" s="6" t="inlineStr">
        <is>
          <t>CO2-Hergebruik (kg)</t>
        </is>
      </c>
      <c r="O2" s="6" t="inlineStr">
        <is>
          <t>CO2- recycle (kg)</t>
        </is>
      </c>
      <c r="P2" s="356" t="inlineStr">
        <is>
          <t xml:space="preserve">Transport-impact </t>
        </is>
      </c>
      <c r="Q2" s="356" t="inlineStr">
        <is>
          <t>Transport afstand (km)</t>
        </is>
      </c>
      <c r="R2" s="6" t="inlineStr">
        <is>
          <t>Totale CO2 nieuw (kg)</t>
        </is>
      </c>
      <c r="S2" s="6" t="inlineStr">
        <is>
          <t>Totale CO2 hergebruik</t>
        </is>
      </c>
      <c r="T2" s="6" t="inlineStr">
        <is>
          <t>Totale Co2 recycling</t>
        </is>
      </c>
      <c r="U2" s="6" t="inlineStr">
        <is>
          <t>Klimaatbesparing (kg co2)</t>
        </is>
      </c>
      <c r="V2" s="125" t="inlineStr">
        <is>
          <t>Laagste uitstoot</t>
        </is>
      </c>
      <c r="W2" s="45" t="inlineStr">
        <is>
          <t>Verkoopbaar volume (m3)</t>
        </is>
      </c>
      <c r="X2" t="inlineStr">
        <is>
          <t>Verkoopprijs aan retailer per m³</t>
        </is>
      </c>
      <c r="Y2" t="inlineStr">
        <is>
          <t>Financiële marktwaarde excl. kosten</t>
        </is>
      </c>
    </row>
    <row r="3">
      <c r="A3" s="6" t="n"/>
      <c r="B3" s="127" t="inlineStr">
        <is>
          <t>Hout</t>
        </is>
      </c>
      <c r="C3" s="154" t="n"/>
      <c r="D3" s="130">
        <f>SUM(D4:D8)</f>
        <v/>
      </c>
      <c r="E3" s="127">
        <f>AVERAGE(E4:E8)</f>
        <v/>
      </c>
      <c r="F3" s="127">
        <f>AVERAGE(F4:F8)</f>
        <v/>
      </c>
      <c r="G3" s="127">
        <f>AVERAGE(G4:G8)</f>
        <v/>
      </c>
      <c r="H3" s="71">
        <f>IF(COUNTA(E4:G4)=0,"",AVERAGE(E4:G4))</f>
        <v/>
      </c>
      <c r="I3" s="131">
        <f>IFERROR(ROUND(Tabel113[[#This Row],[Gem. score]]/5,2),0)</f>
        <v/>
      </c>
      <c r="J3" s="127" t="n"/>
      <c r="K3" s="160">
        <f>IF(J3="A-hout","Hergebruik",IF(J3="C-hout","Recycling",IF(H3&gt;=4,"Hergebruik","Recycling")))</f>
        <v/>
      </c>
      <c r="L3" s="39">
        <f>IF(I3&gt;=75%,"Hoogwaardig","Laagwaardig")</f>
        <v/>
      </c>
      <c r="M3" s="105" t="n">
        <v>240</v>
      </c>
      <c r="N3" s="8" t="n">
        <v>45</v>
      </c>
      <c r="O3" s="8" t="n">
        <v>150</v>
      </c>
      <c r="P3" s="9" t="n">
        <v>2</v>
      </c>
      <c r="Q3" s="18" t="n">
        <v>20</v>
      </c>
      <c r="R3" s="172">
        <f>Tabel113[[#This Row],[Volume (m3)]]*Tabel113[[#This Row],[CO2-nieuw (kg)]]+Tabel113[[#This Row],[Volume (m3)]]*Tabel113[[#This Row],[Transport-impact ]]*Tabel113[[#This Row],[Transport afstand (km)]]</f>
        <v/>
      </c>
      <c r="S3" s="172">
        <f>Tabel113[[#This Row],[Volume (m3)]]*Tabel113[[#This Row],[CO2-Hergebruik (kg)]]+Tabel113[[#This Row],[Volume (m3)]]*Tabel113[[#This Row],[Transport-impact ]]*Tabel113[[#This Row],[Transport afstand (km)]]</f>
        <v/>
      </c>
      <c r="T3" s="172">
        <f>Tabel113[[#This Row],[Volume (m3)]]*Tabel113[[#This Row],[CO2- recycle (kg)]]+Tabel113[[#This Row],[Volume (m3)]]*Tabel113[[#This Row],[Transport-impact ]]*Tabel113[[#This Row],[Transport afstand (km)]]</f>
        <v/>
      </c>
      <c r="U3" s="57">
        <f>IF(V3="hergebruik",R3-S3,IF(V3="recycling",T3-S3,""))</f>
        <v/>
      </c>
      <c r="V3" s="249">
        <f>IF(S3=MIN(R3:T3),"Hergebruik",IF(T3=MIN(R3:T3),"Recycling","Nieuw"))</f>
        <v/>
      </c>
      <c r="W3" s="100">
        <f>Tabel113[[#This Row],[Volume (m3)]]*Tabel113[[#This Row],[Geschatte recovery rate (%)]]</f>
        <v/>
      </c>
      <c r="X3" s="407">
        <f>IFERROR(VLOOKUP(#REF!,Hout!$A$12:$D$15,4,FALSE),0)</f>
        <v/>
      </c>
      <c r="Y3" s="408">
        <f>Tabel113[[#This Row],[Verkoopbaar volume (m3)]]*Tabel113[[#This Row],[Verkoopprijs aan retailer per m³]]</f>
        <v/>
      </c>
    </row>
    <row r="4">
      <c r="A4" s="8" t="n">
        <v>1</v>
      </c>
      <c r="B4" s="8" t="inlineStr">
        <is>
          <t>houten vloerbalk</t>
        </is>
      </c>
      <c r="C4" s="248" t="inlineStr">
        <is>
          <t>Massief constructiehout</t>
        </is>
      </c>
      <c r="D4" s="12" t="n">
        <v>20</v>
      </c>
      <c r="E4" s="13" t="n">
        <v>5</v>
      </c>
      <c r="F4" s="5" t="n">
        <v>4</v>
      </c>
      <c r="G4" s="13" t="n">
        <v>4</v>
      </c>
      <c r="H4" s="9">
        <f>IF(COUNTA(E4:G4)=0,"",AVERAGE(E4:G4))</f>
        <v/>
      </c>
      <c r="I4" s="128">
        <f>IFERROR(ROUND(Tabel113[[#This Row],[Gem. score]]/5,2),0)</f>
        <v/>
      </c>
      <c r="J4" s="13">
        <f>IF(F2="","",IF(F2&gt;=4,"A-Hout",IF(F2&gt;=2.75,"B-Hout","C-Hout")))</f>
        <v/>
      </c>
      <c r="K4" s="174">
        <f>IF(J4="A-hout","Hergebruik",IF(J4="C-hout","Recycling",IF(H4&gt;=4,"Hergebruik","Recycling")))</f>
        <v/>
      </c>
      <c r="L4" s="39">
        <f>IF(I4&gt;=75%,"Hoogwaardig","Laagwaardig")</f>
        <v/>
      </c>
      <c r="M4" s="105" t="n">
        <v>240</v>
      </c>
      <c r="N4" s="8" t="n">
        <v>45</v>
      </c>
      <c r="O4" s="8" t="n">
        <v>150</v>
      </c>
      <c r="P4" s="9" t="n">
        <v>2</v>
      </c>
      <c r="Q4" s="171" t="n">
        <v>20</v>
      </c>
      <c r="R4" s="172">
        <f>Tabel113[[#This Row],[Volume (m3)]]*Tabel113[[#This Row],[CO2-nieuw (kg)]]+Tabel113[[#This Row],[Volume (m3)]]*Tabel113[[#This Row],[Transport-impact ]]*Tabel113[[#This Row],[Transport afstand (km)]]</f>
        <v/>
      </c>
      <c r="S4" s="172">
        <f>Tabel113[[#This Row],[Volume (m3)]]*Tabel113[[#This Row],[CO2-Hergebruik (kg)]]+Tabel113[[#This Row],[Volume (m3)]]*Tabel113[[#This Row],[Transport-impact ]]*Tabel113[[#This Row],[Transport afstand (km)]]</f>
        <v/>
      </c>
      <c r="T4" s="172">
        <f>Tabel113[[#This Row],[Volume (m3)]]*Tabel113[[#This Row],[CO2- recycle (kg)]]+Tabel113[[#This Row],[Volume (m3)]]*Tabel113[[#This Row],[Transport-impact ]]*Tabel113[[#This Row],[Transport afstand (km)]]</f>
        <v/>
      </c>
      <c r="U4" s="57">
        <f>IF(V4="hergebruik",R4-S4,IF(V4="recycling",T4-S4,""))</f>
        <v/>
      </c>
      <c r="V4" s="249">
        <f>IF(S4=MIN(R4:T4),"Hergebruik",IF(T4=MIN(R4:T4),"Recycling","Nieuw"))</f>
        <v/>
      </c>
      <c r="W4" s="100">
        <f>Tabel113[[#This Row],[Volume (m3)]]*Tabel113[[#This Row],[Geschatte recovery rate (%)]]</f>
        <v/>
      </c>
      <c r="X4" s="400">
        <f>IFERROR(VLOOKUP(#REF!,Hout!$A$12:$D$15,4,FALSE),0)</f>
        <v/>
      </c>
      <c r="Y4" s="408">
        <f>Tabel113[[#This Row],[Verkoopbaar volume (m3)]]*Tabel113[[#This Row],[Verkoopprijs aan retailer per m³]]</f>
        <v/>
      </c>
    </row>
    <row r="5">
      <c r="A5" s="8" t="n">
        <v>2</v>
      </c>
      <c r="B5" s="8" t="inlineStr">
        <is>
          <t>spaanplaat</t>
        </is>
      </c>
      <c r="C5" s="248" t="inlineStr">
        <is>
          <t>Plaatmateriaal en bewerkt hout</t>
        </is>
      </c>
      <c r="D5" s="12" t="n">
        <v>10</v>
      </c>
      <c r="E5" s="15" t="n">
        <v>5</v>
      </c>
      <c r="F5" s="15" t="n">
        <v>4</v>
      </c>
      <c r="G5" s="15" t="n">
        <v>3</v>
      </c>
      <c r="H5" s="9">
        <f>IF(COUNTA(E5:G5)=0,"",AVERAGE(E5:G5))</f>
        <v/>
      </c>
      <c r="I5" s="128">
        <f>IFERROR(ROUND(Tabel113[[#This Row],[Gem. score]]/5,2),0)</f>
        <v/>
      </c>
      <c r="J5" s="13">
        <f>IF(F3="","",IF(F3&gt;=4,"A-Hout",IF(F3&gt;=2.75,"B-Hout","C-Hout")))</f>
        <v/>
      </c>
      <c r="K5" s="174">
        <f>IF(J5="A-hout","Hergebruik",IF(J5="C-hout","Recycling",IF(H5&gt;=4,"Hergebruik","Recycling")))</f>
        <v/>
      </c>
      <c r="L5" s="39">
        <f>IF(I5&gt;=75%,"Hoogwaardig","Laagwaardig")</f>
        <v/>
      </c>
      <c r="M5" s="105" t="n">
        <v>240</v>
      </c>
      <c r="N5" s="8" t="n">
        <v>45</v>
      </c>
      <c r="O5" s="8" t="n">
        <v>150</v>
      </c>
      <c r="P5" s="9" t="n">
        <v>2</v>
      </c>
      <c r="Q5" s="171" t="n">
        <v>20</v>
      </c>
      <c r="R5" s="172">
        <f>Tabel113[[#This Row],[Volume (m3)]]*Tabel113[[#This Row],[CO2-nieuw (kg)]]+Tabel113[[#This Row],[Volume (m3)]]*Tabel113[[#This Row],[Transport-impact ]]*Tabel113[[#This Row],[Transport afstand (km)]]</f>
        <v/>
      </c>
      <c r="S5" s="172">
        <f>Tabel113[[#This Row],[Volume (m3)]]*Tabel113[[#This Row],[CO2-Hergebruik (kg)]]+Tabel113[[#This Row],[Volume (m3)]]*Tabel113[[#This Row],[Transport-impact ]]*Tabel113[[#This Row],[Transport afstand (km)]]</f>
        <v/>
      </c>
      <c r="T5" s="172">
        <f>Tabel113[[#This Row],[Volume (m3)]]*Tabel113[[#This Row],[CO2- recycle (kg)]]+Tabel113[[#This Row],[Volume (m3)]]*Tabel113[[#This Row],[Transport-impact ]]*Tabel113[[#This Row],[Transport afstand (km)]]</f>
        <v/>
      </c>
      <c r="U5" s="57">
        <f>IF(V5="hergebruik",R5-S5,IF(V5="recycling",T5-S5,""))</f>
        <v/>
      </c>
      <c r="V5" s="249">
        <f>IF(S5=MIN(R5:T5),"Hergebruik",IF(T5=MIN(R5:T5),"Recycling","Nieuw"))</f>
        <v/>
      </c>
      <c r="W5" s="100">
        <f>Tabel113[[#This Row],[Volume (m3)]]*Tabel113[[#This Row],[Geschatte recovery rate (%)]]</f>
        <v/>
      </c>
      <c r="X5" s="400">
        <f>IFERROR(VLOOKUP(#REF!,Hout!$A$12:$D$15,4,FALSE),0)</f>
        <v/>
      </c>
      <c r="Y5" s="408">
        <f>Tabel113[[#This Row],[Verkoopbaar volume (m3)]]*Tabel113[[#This Row],[Verkoopprijs aan retailer per m³]]</f>
        <v/>
      </c>
    </row>
    <row r="6">
      <c r="A6" s="8" t="n">
        <v>3</v>
      </c>
      <c r="B6" s="8" t="inlineStr">
        <is>
          <t>luifel</t>
        </is>
      </c>
      <c r="C6" s="248" t="inlineStr">
        <is>
          <t>Gevel- en buitenhout</t>
        </is>
      </c>
      <c r="D6" s="16" t="n">
        <v>0.17</v>
      </c>
      <c r="E6" s="15" t="n">
        <v>2</v>
      </c>
      <c r="F6" s="15" t="n">
        <v>3</v>
      </c>
      <c r="G6" s="15" t="n">
        <v>2</v>
      </c>
      <c r="H6" s="9">
        <f>IF(COUNTA(E6:G6)=0,"",AVERAGE(E6:G6))</f>
        <v/>
      </c>
      <c r="I6" s="129">
        <f>IFERROR(ROUND(Tabel113[[#This Row],[Gem. score]]/5,2),0)</f>
        <v/>
      </c>
      <c r="J6" s="13">
        <f>IF(F4="","",IF(F4&gt;=4,"A-Hout",IF(F4&gt;=2.75,"B-Hout","C-Hout")))</f>
        <v/>
      </c>
      <c r="K6" s="174">
        <f>IF(J6="A-hout","Hergebruik",IF(J6="C-hout","Recycling",IF(H6&gt;=4,"Hergebruik","Recycling")))</f>
        <v/>
      </c>
      <c r="L6" s="39">
        <f>IF(I6&gt;=75%,"Hoogwaardig","Laagwaardig")</f>
        <v/>
      </c>
      <c r="M6" s="105" t="n">
        <v>240</v>
      </c>
      <c r="N6" s="8" t="n">
        <v>45</v>
      </c>
      <c r="O6" s="8" t="n">
        <v>150</v>
      </c>
      <c r="P6" s="9" t="n">
        <v>2</v>
      </c>
      <c r="Q6" s="171" t="n">
        <v>20</v>
      </c>
      <c r="R6" s="172">
        <f>Tabel113[[#This Row],[Volume (m3)]]*Tabel113[[#This Row],[CO2-nieuw (kg)]]+Tabel113[[#This Row],[Volume (m3)]]*Tabel113[[#This Row],[Transport-impact ]]*Tabel113[[#This Row],[Transport afstand (km)]]</f>
        <v/>
      </c>
      <c r="S6" s="172">
        <f>Tabel113[[#This Row],[Volume (m3)]]*Tabel113[[#This Row],[CO2-Hergebruik (kg)]]+Tabel113[[#This Row],[Volume (m3)]]*Tabel113[[#This Row],[Transport-impact ]]*Tabel113[[#This Row],[Transport afstand (km)]]</f>
        <v/>
      </c>
      <c r="T6" s="172">
        <f>Tabel113[[#This Row],[Volume (m3)]]*Tabel113[[#This Row],[CO2- recycle (kg)]]+Tabel113[[#This Row],[Volume (m3)]]*Tabel113[[#This Row],[Transport-impact ]]*Tabel113[[#This Row],[Transport afstand (km)]]</f>
        <v/>
      </c>
      <c r="U6" s="57">
        <f>IF(V6="hergebruik",R6-S6,IF(V6="recycling",T6-S6,""))</f>
        <v/>
      </c>
      <c r="V6" s="249">
        <f>IF(S6=MIN(R6:T6),"Hergebruik",IF(T6=MIN(R6:T6),"Recycling","Nieuw"))</f>
        <v/>
      </c>
      <c r="W6" s="100">
        <f>Tabel113[[#This Row],[Volume (m3)]]*Tabel113[[#This Row],[Geschatte recovery rate (%)]]</f>
        <v/>
      </c>
      <c r="X6" s="400">
        <f>IFERROR(VLOOKUP(#REF!,Hout!$A$12:$D$15,4,FALSE),0)</f>
        <v/>
      </c>
      <c r="Y6" s="408">
        <f>Tabel113[[#This Row],[Verkoopbaar volume (m3)]]*Tabel113[[#This Row],[Verkoopprijs aan retailer per m³]]</f>
        <v/>
      </c>
    </row>
    <row r="7">
      <c r="A7" s="8" t="n">
        <v>3</v>
      </c>
      <c r="B7" s="8" t="inlineStr">
        <is>
          <t>trapleuning</t>
        </is>
      </c>
      <c r="C7" s="248" t="inlineStr">
        <is>
          <t>Binnenafbouw en interieurhout</t>
        </is>
      </c>
      <c r="D7" s="16" t="n">
        <v>10</v>
      </c>
      <c r="E7" s="15" t="n">
        <v>5</v>
      </c>
      <c r="F7" s="15" t="n">
        <v>1</v>
      </c>
      <c r="G7" s="15" t="n">
        <v>1</v>
      </c>
      <c r="H7" s="9">
        <f>IF(COUNTA(E7:G7)=0,"",AVERAGE(E7:G7))</f>
        <v/>
      </c>
      <c r="I7" s="129">
        <f>IFERROR(ROUND(Tabel113[[#This Row],[Gem. score]]/5,2),0)</f>
        <v/>
      </c>
      <c r="J7" s="13">
        <f>IF(F5="","",IF(F5&gt;=4,"A-Hout",IF(F5&gt;=2.75,"B-Hout","C-Hout")))</f>
        <v/>
      </c>
      <c r="K7" s="174">
        <f>IF(J7="A-hout","Hergebruik",IF(J7="C-hout","Recycling",IF(H7&gt;=4,"Hergebruik","Recycling")))</f>
        <v/>
      </c>
      <c r="L7" s="39">
        <f>IF(I7&gt;=75%,"Hoogwaardig","Laagwaardig")</f>
        <v/>
      </c>
      <c r="M7" s="105" t="n">
        <v>240</v>
      </c>
      <c r="N7" s="8" t="n">
        <v>45</v>
      </c>
      <c r="O7" s="8" t="n">
        <v>150</v>
      </c>
      <c r="P7" s="9" t="n">
        <v>3</v>
      </c>
      <c r="Q7" s="171" t="n">
        <v>20</v>
      </c>
      <c r="R7" s="172">
        <f>Tabel113[[#This Row],[Volume (m3)]]*Tabel113[[#This Row],[CO2-nieuw (kg)]]+Tabel113[[#This Row],[Volume (m3)]]*Tabel113[[#This Row],[Transport-impact ]]*Tabel113[[#This Row],[Transport afstand (km)]]</f>
        <v/>
      </c>
      <c r="S7" s="172">
        <f>Tabel113[[#This Row],[Volume (m3)]]*Tabel113[[#This Row],[CO2-Hergebruik (kg)]]+Tabel113[[#This Row],[Volume (m3)]]*Tabel113[[#This Row],[Transport-impact ]]*Tabel113[[#This Row],[Transport afstand (km)]]</f>
        <v/>
      </c>
      <c r="T7" s="172">
        <f>Tabel113[[#This Row],[Volume (m3)]]*Tabel113[[#This Row],[CO2- recycle (kg)]]+Tabel113[[#This Row],[Volume (m3)]]*Tabel113[[#This Row],[Transport-impact ]]*Tabel113[[#This Row],[Transport afstand (km)]]</f>
        <v/>
      </c>
      <c r="U7" s="57">
        <f>IF(V7="hergebruik",R7-S7,IF(V7="recycling",T7-S7,""))</f>
        <v/>
      </c>
      <c r="V7" s="249">
        <f>IF(S7=MIN(R7:T7),"Hergebruik",IF(T7=MIN(R7:T7),"Recycling","Nieuw"))</f>
        <v/>
      </c>
      <c r="W7" s="100">
        <f>Tabel113[[#This Row],[Volume (m3)]]*Tabel113[[#This Row],[Geschatte recovery rate (%)]]</f>
        <v/>
      </c>
      <c r="X7" s="400">
        <f>IFERROR(VLOOKUP(#REF!,Hout!$A$12:$D$15,4,FALSE),0)</f>
        <v/>
      </c>
      <c r="Y7" s="408">
        <f>Tabel113[[#This Row],[Verkoopbaar volume (m3)]]*Tabel113[[#This Row],[Verkoopprijs aan retailer per m³]]</f>
        <v/>
      </c>
    </row>
    <row r="8" ht="14.65" customHeight="1" thickBot="1">
      <c r="A8" s="8" t="n">
        <v>4</v>
      </c>
      <c r="B8" s="8" t="inlineStr">
        <is>
          <t>Houten kozijn</t>
        </is>
      </c>
      <c r="C8" s="254" t="inlineStr">
        <is>
          <t>Plaatmateriaal en bewerkt hout</t>
        </is>
      </c>
      <c r="D8" s="16" t="n">
        <v>10</v>
      </c>
      <c r="E8" s="15" t="n">
        <v>5</v>
      </c>
      <c r="F8" s="15" t="n">
        <v>4</v>
      </c>
      <c r="G8" s="15" t="n">
        <v>5</v>
      </c>
      <c r="H8" s="9">
        <f>IF(COUNTA(E8:G8)=0,"",AVERAGE(E8:G8))</f>
        <v/>
      </c>
      <c r="I8" s="129">
        <f>IFERROR(ROUND(Tabel113[[#This Row],[Gem. score]]/5,2),0)</f>
        <v/>
      </c>
      <c r="J8" s="13" t="inlineStr">
        <is>
          <t>Bijzonder hout</t>
        </is>
      </c>
      <c r="K8" s="174">
        <f>IF(J8="A-hout","Hergebruik",IF(J8="C-hout","Recycling",IF(H8&gt;=4,"Hergebruik","Recycling")))</f>
        <v/>
      </c>
      <c r="L8" s="39">
        <f>IF(I8&gt;=75%,"Hoogwaardig","Laagwaardig")</f>
        <v/>
      </c>
      <c r="M8" s="107" t="n">
        <v>240</v>
      </c>
      <c r="N8" s="108" t="n">
        <v>45</v>
      </c>
      <c r="O8" s="108" t="n">
        <v>150</v>
      </c>
      <c r="P8" s="9" t="n">
        <v>2</v>
      </c>
      <c r="Q8" s="171" t="n">
        <v>20</v>
      </c>
      <c r="R8" s="173">
        <f>Tabel113[[#This Row],[Volume (m3)]]*Tabel113[[#This Row],[CO2-nieuw (kg)]]+Tabel113[[#This Row],[Volume (m3)]]*Tabel113[[#This Row],[Transport-impact ]]*Tabel113[[#This Row],[Transport afstand (km)]]</f>
        <v/>
      </c>
      <c r="S8" s="173">
        <f>Tabel113[[#This Row],[Volume (m3)]]*Tabel113[[#This Row],[CO2-Hergebruik (kg)]]+Tabel113[[#This Row],[Volume (m3)]]*Tabel113[[#This Row],[Transport-impact ]]*Tabel113[[#This Row],[Transport afstand (km)]]</f>
        <v/>
      </c>
      <c r="T8" s="172">
        <f>Tabel113[[#This Row],[Volume (m3)]]*Tabel113[[#This Row],[CO2- recycle (kg)]]+Tabel113[[#This Row],[Volume (m3)]]*Tabel113[[#This Row],[Transport-impact ]]*Tabel113[[#This Row],[Transport afstand (km)]]</f>
        <v/>
      </c>
      <c r="U8" s="57">
        <f>IF(V8="hergebruik",R8-S8,IF(V8="recycling",T8-S8,""))</f>
        <v/>
      </c>
      <c r="V8" s="249">
        <f>IF(S8=MIN(R8:T8),"Hergebruik",IF(T8=MIN(R8:T8),"Recycling","Nieuw"))</f>
        <v/>
      </c>
      <c r="W8" s="100">
        <f>Tabel113[[#This Row],[Volume (m3)]]*Tabel113[[#This Row],[Geschatte recovery rate (%)]]</f>
        <v/>
      </c>
      <c r="X8" s="400">
        <f>IFERROR(VLOOKUP(#REF!,Hout!$A$12:$D$15,4,FALSE),0)</f>
        <v/>
      </c>
      <c r="Y8" s="408">
        <f>Tabel113[[#This Row],[Verkoopbaar volume (m3)]]*Tabel113[[#This Row],[Verkoopprijs aan retailer per m³]]</f>
        <v/>
      </c>
    </row>
    <row r="9">
      <c r="Q9" s="233" t="n"/>
    </row>
    <row r="10" ht="15.75" customHeight="1">
      <c r="N10" s="50" t="n"/>
      <c r="O10" s="50" t="n"/>
      <c r="P10" s="50" t="n"/>
      <c r="Q10" s="50" t="n"/>
    </row>
    <row r="11" ht="42.75" customHeight="1">
      <c r="A11" s="133" t="inlineStr">
        <is>
          <t>Houtklasse</t>
        </is>
      </c>
      <c r="B11" s="134" t="inlineStr">
        <is>
          <t>Retail hergebruikprijs per m³</t>
        </is>
      </c>
      <c r="C11" s="134" t="inlineStr">
        <is>
          <t>Retailer-inkoopfactor</t>
        </is>
      </c>
      <c r="D11" s="98" t="inlineStr">
        <is>
          <t>Verkoopprijs aan retailer per m³</t>
        </is>
      </c>
      <c r="N11" s="50" t="n"/>
      <c r="O11" s="50" t="n"/>
      <c r="P11" s="50" t="n"/>
      <c r="Q11" s="50" t="n"/>
    </row>
    <row r="12">
      <c r="A12" s="98" t="inlineStr">
        <is>
          <t>A-hout</t>
        </is>
      </c>
      <c r="B12" s="409" t="n">
        <v>375</v>
      </c>
      <c r="C12" s="136" t="n">
        <v>0.65</v>
      </c>
      <c r="D12" s="135">
        <f>Tabel1[[#This Row],[Retailer-inkoopfactor]]*Tabel1[[#This Row],[Retail hergebruikprijs per m³]]</f>
        <v/>
      </c>
      <c r="H12" s="247" t="n"/>
      <c r="I12" s="247" t="n"/>
      <c r="J12" s="247" t="n"/>
      <c r="K12" s="247" t="n"/>
      <c r="L12" s="247" t="n"/>
    </row>
    <row r="13" ht="15.75" customHeight="1">
      <c r="A13" s="98" t="inlineStr">
        <is>
          <t>B-hout</t>
        </is>
      </c>
      <c r="B13" s="409" t="n">
        <v>250</v>
      </c>
      <c r="C13" s="136" t="n">
        <v>0.6</v>
      </c>
      <c r="D13" s="135">
        <f>Tabel1[[#This Row],[Retailer-inkoopfactor]]*Tabel1[[#This Row],[Retail hergebruikprijs per m³]]</f>
        <v/>
      </c>
      <c r="F13" s="44" t="n"/>
      <c r="H13" s="247" t="n"/>
      <c r="I13" s="247" t="n"/>
      <c r="J13" s="247" t="n"/>
      <c r="K13" s="247" t="n"/>
      <c r="L13" s="247" t="n"/>
      <c r="N13" s="50" t="n"/>
      <c r="O13" s="50" t="n"/>
      <c r="P13" s="50" t="n"/>
      <c r="Q13" s="50" t="n"/>
    </row>
    <row r="14" ht="15.75" customHeight="1">
      <c r="A14" s="98" t="inlineStr">
        <is>
          <t>C-hout</t>
        </is>
      </c>
      <c r="B14" s="409" t="n">
        <v>0</v>
      </c>
      <c r="C14" s="136" t="n">
        <v>0</v>
      </c>
      <c r="D14" s="135">
        <f>Tabel1[[#This Row],[Retailer-inkoopfactor]]*Tabel1[[#This Row],[Retail hergebruikprijs per m³]]</f>
        <v/>
      </c>
      <c r="F14" s="44" t="n"/>
      <c r="H14" s="247" t="n"/>
      <c r="I14" s="247" t="n"/>
      <c r="J14" s="247" t="n"/>
      <c r="K14" s="247" t="n"/>
      <c r="L14" s="247" t="n"/>
      <c r="N14" s="50" t="n"/>
      <c r="O14" s="50" t="n"/>
      <c r="P14" s="50" t="n"/>
      <c r="Q14" s="50" t="n"/>
    </row>
    <row r="15">
      <c r="A15" s="98" t="inlineStr">
        <is>
          <t>Bijzonder hout</t>
        </is>
      </c>
      <c r="B15" s="409" t="n">
        <v>1500</v>
      </c>
      <c r="C15" s="136" t="n">
        <v>0.6</v>
      </c>
      <c r="D15" s="135">
        <f>Tabel1[[#This Row],[Retailer-inkoopfactor]]*Tabel1[[#This Row],[Retail hergebruikprijs per m³]]</f>
        <v/>
      </c>
      <c r="F15" s="44" t="n"/>
      <c r="H15" s="247" t="n"/>
      <c r="I15" s="247" t="n"/>
      <c r="J15" s="247" t="n"/>
      <c r="K15" s="247" t="n"/>
      <c r="L15" s="247" t="n"/>
    </row>
    <row r="16">
      <c r="F16" s="44" t="n"/>
      <c r="H16" s="247" t="n"/>
      <c r="I16" s="247" t="n"/>
      <c r="J16" s="247" t="n"/>
      <c r="K16" s="247" t="n"/>
      <c r="L16" s="247" t="n"/>
    </row>
    <row r="17">
      <c r="F17" s="44" t="n"/>
      <c r="H17" s="247" t="n"/>
      <c r="I17" s="247" t="n"/>
      <c r="J17" s="247" t="n"/>
      <c r="K17" s="247" t="n"/>
      <c r="L17" s="247" t="n"/>
    </row>
    <row r="18" ht="15.4" customHeight="1">
      <c r="H18" s="247" t="n"/>
      <c r="I18" s="247" t="n"/>
      <c r="J18" s="247" t="n"/>
      <c r="K18" s="247" t="n"/>
      <c r="L18" s="247" t="n"/>
      <c r="Z18" s="55" t="n"/>
    </row>
    <row r="19">
      <c r="H19" s="247" t="n"/>
      <c r="I19" s="247" t="n"/>
      <c r="J19" s="247" t="n"/>
      <c r="K19" s="247" t="n"/>
      <c r="L19" s="247" t="n"/>
    </row>
    <row r="20" ht="15.4" customHeight="1">
      <c r="H20" s="247" t="n"/>
      <c r="I20" s="247" t="n"/>
      <c r="J20" s="247" t="n"/>
      <c r="K20" s="247" t="n"/>
      <c r="L20" s="247" t="n"/>
      <c r="Z20" s="54" t="n"/>
    </row>
    <row r="22" ht="15.4" customHeight="1">
      <c r="Z22" s="54" t="n"/>
    </row>
  </sheetData>
  <mergeCells count="4">
    <mergeCell ref="F1:M1"/>
    <mergeCell ref="N1:W1"/>
    <mergeCell ref="X1:Z1"/>
    <mergeCell ref="A1:E1"/>
  </mergeCells>
  <conditionalFormatting sqref="I3:I8">
    <cfRule type="colorScale" priority="230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Q3:Q8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3">
    <dataValidation sqref="F5:F8 P3:P8 G4:G8 E4:E8" showErrorMessage="1" showInputMessage="1" allowBlank="0" type="list">
      <formula1>"1,2,3,4,5"</formula1>
    </dataValidation>
    <dataValidation sqref="J3 C3:C7" showErrorMessage="1" showInputMessage="1" allowBlank="0" type="list">
      <formula1>"Staal,Hout,Beton,Aluminium,Koper,Keramiek,Bitumen,Overig"</formula1>
    </dataValidation>
    <dataValidation sqref="E3:G3" showErrorMessage="1" showInputMessage="1" allowBlank="0" type="decimal">
      <formula1>0</formula1>
      <formula2>1</formula2>
    </dataValidation>
  </dataValidations>
  <pageMargins left="0.7" right="0.7" top="0.75" bottom="0.75" header="0.3" footer="0.3"/>
  <legacyDrawing r:id="anysvml"/>
  <tableParts count="2">
    <tablePart r:id="rId1"/>
    <tablePart r:id="rId2"/>
  </tableParts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J14"/>
  <sheetViews>
    <sheetView topLeftCell="C1" zoomScale="81" workbookViewId="0">
      <selection activeCell="G25" sqref="G25"/>
    </sheetView>
  </sheetViews>
  <sheetFormatPr baseColWidth="8" defaultColWidth="27.796875" defaultRowHeight="14.25"/>
  <cols>
    <col width="27.796875" customWidth="1" style="98" min="1" max="4"/>
    <col width="14.1328125" customWidth="1" style="98" min="5" max="5"/>
    <col width="27.796875" customWidth="1" style="98" min="6" max="7"/>
    <col width="47" customWidth="1" style="98" min="8" max="8"/>
    <col width="27.796875" customWidth="1" style="98" min="9" max="16384"/>
  </cols>
  <sheetData>
    <row r="1">
      <c r="A1" s="94" t="inlineStr">
        <is>
          <t>Categorie</t>
        </is>
      </c>
      <c r="B1" s="94" t="inlineStr">
        <is>
          <t>Betekenis</t>
        </is>
      </c>
      <c r="C1" s="94" t="inlineStr">
        <is>
          <t>Hoe beoordelen?</t>
        </is>
      </c>
      <c r="D1" s="94" t="inlineStr">
        <is>
          <t>Voorbeelden</t>
        </is>
      </c>
      <c r="F1" s="230" t="inlineStr">
        <is>
          <t>Categorie</t>
        </is>
      </c>
      <c r="G1" s="230" t="inlineStr">
        <is>
          <t>Definitie</t>
        </is>
      </c>
      <c r="H1" s="230" t="inlineStr">
        <is>
          <t xml:space="preserve">Voorbeelden in gebouwen </t>
        </is>
      </c>
      <c r="I1" s="230" t="inlineStr">
        <is>
          <t>Bouwdelen</t>
        </is>
      </c>
      <c r="J1" s="230" t="inlineStr">
        <is>
          <t>Typische gebouwtypen</t>
        </is>
      </c>
    </row>
    <row r="2" ht="42.75" customHeight="1">
      <c r="A2" s="42" t="inlineStr">
        <is>
          <t>A-hout</t>
        </is>
      </c>
      <c r="B2" s="43" t="inlineStr">
        <is>
          <t>Schoon, onbehandeld en kwalitatief goed hout</t>
        </is>
      </c>
      <c r="C2" s="43" t="inlineStr">
        <is>
          <t>Hoge kans op hergebruik of hoogwaardige recycling</t>
        </is>
      </c>
      <c r="D2" s="43" t="inlineStr">
        <is>
          <t>massieve houten balken, onbehandelde planken, schoon constructiehout, houten regels</t>
        </is>
      </c>
      <c r="F2" s="231" t="inlineStr">
        <is>
          <t>Massief constructiehout</t>
        </is>
      </c>
      <c r="G2" s="98" t="inlineStr">
        <is>
          <t>Houten elementen die dragend of constructief zijn, meestal als balk, ligger, stijl of kolom.</t>
        </is>
      </c>
      <c r="H2" s="98" t="inlineStr">
        <is>
          <t>houten balk, gording, spant, kolom, houten ligger, dakbeschot, houten vloerbalk, kapconstructie, houten trap</t>
        </is>
      </c>
      <c r="I2" s="98" t="inlineStr">
        <is>
          <t>Draagconstructie, dak, vloer, trap</t>
        </is>
      </c>
      <c r="J2" s="98" t="inlineStr">
        <is>
          <t>grondgebonden woningen, utiliteitsbouw, renovatieprojecten</t>
        </is>
      </c>
    </row>
    <row r="3" ht="57" customHeight="1">
      <c r="A3" s="42" t="inlineStr">
        <is>
          <t>B-hout</t>
        </is>
      </c>
      <c r="B3" s="43" t="inlineStr">
        <is>
          <t>Behandeld, geverfd, gelakt of licht beschadigd hout</t>
        </is>
      </c>
      <c r="C3" s="43" t="inlineStr">
        <is>
          <t>Soms hergebruik mogelijk, meestal recycling/downcycling</t>
        </is>
      </c>
      <c r="D3" s="43" t="inlineStr">
        <is>
          <t>houten kozijnen, geverfde planken, houten deuren, plaatmateriaal, multiplex, underlayment</t>
        </is>
      </c>
      <c r="F3" s="231" t="inlineStr">
        <is>
          <t>Plaatmateriaal en bewerkt hout</t>
        </is>
      </c>
      <c r="G3" s="98" t="inlineStr">
        <is>
          <t>Verlijmde of samengestelde houtproducten als plaat of samengesteld element.</t>
        </is>
      </c>
      <c r="H3" s="98" t="inlineStr">
        <is>
          <t>multiplex, OSB, spaanplaat, MDF, underlayment, CLT, LVL, gelamineerde ligger, houten systeemwand</t>
        </is>
      </c>
      <c r="I3" s="98" t="inlineStr">
        <is>
          <t>Binnenafbouw, vloeren, wanden, daken</t>
        </is>
      </c>
      <c r="J3" s="98" t="inlineStr">
        <is>
          <t>woningbouw, utiliteitsbouw, houtskeletbouw</t>
        </is>
      </c>
    </row>
    <row r="4" ht="57" customHeight="1">
      <c r="A4" s="42" t="inlineStr">
        <is>
          <t>C-hout</t>
        </is>
      </c>
      <c r="B4" s="43" t="inlineStr">
        <is>
          <t>Sterk behandeld, geïmpregneerd, vervuild of moeilijk herbruikbaar hout</t>
        </is>
      </c>
      <c r="C4" s="43" t="inlineStr">
        <is>
          <t>Meestal laagwaardige verwerking of afvalroute; voorzichtig beoordelen door mogelijke schadelijke stoffen</t>
        </is>
      </c>
      <c r="D4" s="43" t="inlineStr">
        <is>
          <t>geïmpregneerd hout, verrot hout, vervuild sloophout, hout met lijm- of kitresten</t>
        </is>
      </c>
      <c r="F4" s="231" t="inlineStr">
        <is>
          <t>Gevel- en buitenhout</t>
        </is>
      </c>
      <c r="G4" s="98" t="inlineStr">
        <is>
          <t>Hout dat aan buitenzijde of in de gebouwschil is toegepast.</t>
        </is>
      </c>
      <c r="H4" s="98" t="inlineStr">
        <is>
          <t>gevelbekleding, boeiboord, dakrand, dakkapelbekleding, luifel, houten vlonder</t>
        </is>
      </c>
      <c r="I4" s="98" t="inlineStr">
        <is>
          <t>Gevel, dakrand, kozijnen, buitenafwerking</t>
        </is>
      </c>
      <c r="J4" s="98" t="inlineStr">
        <is>
          <t>grondgebonden woningen, utiliteitsbouw, recreatiegebouwen</t>
        </is>
      </c>
    </row>
    <row r="5" ht="57" customHeight="1">
      <c r="A5" s="42" t="inlineStr">
        <is>
          <t>Bijzonder hout</t>
        </is>
      </c>
      <c r="B5" s="43" t="inlineStr">
        <is>
          <t>Houten constructies of bouwelementen die niet goed als standaard houtvolume beoordeeld kunnen worden</t>
        </is>
      </c>
      <c r="C5" s="43" t="inlineStr">
        <is>
          <t>Apart beoordelen op functie, maatvoering, conditie, demontage en hergebruikspotentie</t>
        </is>
      </c>
      <c r="D5" s="43" t="inlineStr">
        <is>
          <t>houten trappen, dakkapellen, houten dakconstructies, complete houten vloeren, houten gevelsystemen</t>
        </is>
      </c>
      <c r="F5" s="231" t="inlineStr">
        <is>
          <t>Binnenafbouw en interieurhout</t>
        </is>
      </c>
      <c r="G5" s="98" t="inlineStr">
        <is>
          <t>Niet-dragend hout in de afbouw en inrichting.</t>
        </is>
      </c>
      <c r="H5" s="98" t="inlineStr">
        <is>
          <t>plint, regelwerk, houten wandbekleding, trapleuning, balustrade, vaste kast</t>
        </is>
      </c>
      <c r="I5" s="98" t="inlineStr">
        <is>
          <t>Binnenafbouw, interieur, scheidingswanden</t>
        </is>
      </c>
      <c r="J5" s="98" t="inlineStr">
        <is>
          <t>alle gebouwtypen; veel in woningbouw en utiliteit</t>
        </is>
      </c>
    </row>
    <row r="7">
      <c r="A7" s="47" t="inlineStr">
        <is>
          <t>Hout PRR</t>
        </is>
      </c>
      <c r="B7" s="45" t="inlineStr">
        <is>
          <t>Routeadvies</t>
        </is>
      </c>
      <c r="C7" s="45" t="inlineStr">
        <is>
          <t>Onderbouwing</t>
        </is>
      </c>
    </row>
    <row r="8" ht="42.75" customHeight="1">
      <c r="A8" s="46" t="inlineStr">
        <is>
          <t>≥ 80%</t>
        </is>
      </c>
      <c r="B8" s="44" t="inlineStr">
        <is>
          <t>Hergebruik</t>
        </is>
      </c>
      <c r="C8" s="44" t="inlineStr">
        <is>
          <t>Alleen schoon, goed demontabel en verkoopbaar hout is echt kansrijk voor direct hergebruik.</t>
        </is>
      </c>
      <c r="D8" s="238" t="n"/>
      <c r="E8" s="238" t="n"/>
    </row>
    <row r="9" ht="42.75" customHeight="1">
      <c r="A9" s="46" t="inlineStr">
        <is>
          <t>55% – 79%</t>
        </is>
      </c>
      <c r="B9" s="44" t="inlineStr">
        <is>
          <t>Hergebruik &gt; recycling</t>
        </is>
      </c>
      <c r="C9" s="44" t="inlineStr">
        <is>
          <t>Hout kan nog herbruikbaar zijn, maar conditie, maatvoering, verf, lijm of schade maken dit onzeker.</t>
        </is>
      </c>
      <c r="D9" s="239" t="n"/>
      <c r="E9" s="239" t="n"/>
    </row>
    <row r="10" ht="22.8" customHeight="1">
      <c r="A10" s="46" t="inlineStr">
        <is>
          <t>30% – 54%</t>
        </is>
      </c>
      <c r="B10" s="44" t="inlineStr">
        <is>
          <t>Recycling</t>
        </is>
      </c>
      <c r="C10" s="44" t="inlineStr">
        <is>
          <t>Vooral geschikt voor recycling/downcycling.</t>
        </is>
      </c>
      <c r="D10" s="239" t="n"/>
      <c r="E10" s="239" t="n"/>
    </row>
    <row r="11" ht="28.5" customHeight="1">
      <c r="A11" s="46" t="inlineStr">
        <is>
          <t>&lt; 30%</t>
        </is>
      </c>
      <c r="B11" s="44" t="inlineStr">
        <is>
          <t>Handmatig beoordelen</t>
        </is>
      </c>
      <c r="C11" s="44" t="inlineStr">
        <is>
          <t>Te lage score of te veel onzekerheid.</t>
        </is>
      </c>
      <c r="D11" s="239" t="n"/>
      <c r="E11" s="239" t="n"/>
    </row>
    <row r="12">
      <c r="A12" s="239" t="n"/>
      <c r="B12" s="239" t="n"/>
      <c r="C12" s="239" t="n"/>
      <c r="D12" s="239" t="n"/>
      <c r="E12" s="239" t="n"/>
    </row>
    <row r="13">
      <c r="A13" s="239" t="n"/>
      <c r="B13" s="239" t="n"/>
      <c r="C13" s="239" t="n"/>
      <c r="D13" s="239" t="n"/>
      <c r="E13" s="239" t="n"/>
    </row>
    <row r="14">
      <c r="A14" s="239" t="n"/>
      <c r="B14" s="239" t="n"/>
      <c r="C14" s="239" t="n"/>
      <c r="D14" s="239" t="n"/>
      <c r="E14" s="239" t="n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18"/>
  <sheetViews>
    <sheetView workbookViewId="0">
      <selection activeCell="B7" sqref="B7"/>
    </sheetView>
  </sheetViews>
  <sheetFormatPr baseColWidth="8" defaultColWidth="8.796875" defaultRowHeight="14.25"/>
  <cols>
    <col width="20" bestFit="1" customWidth="1" min="1" max="1"/>
    <col width="15" customWidth="1" min="2" max="2"/>
    <col width="35" customWidth="1" min="3" max="3"/>
    <col width="35" customWidth="1" min="4" max="4"/>
  </cols>
  <sheetData>
    <row r="1">
      <c r="A1" s="405" t="inlineStr">
        <is>
          <t>Herkomst</t>
        </is>
      </c>
      <c r="B1" s="405" t="inlineStr">
        <is>
          <t>Volume (m³)</t>
        </is>
      </c>
    </row>
    <row r="2">
      <c r="A2" s="406" t="inlineStr">
        <is>
          <t>Totaal</t>
        </is>
      </c>
      <c r="B2" s="406">
        <f>SUM(B3:B11)</f>
        <v/>
      </c>
    </row>
    <row r="3">
      <c r="A3" s="244" t="inlineStr">
        <is>
          <t>Plafonds</t>
        </is>
      </c>
      <c r="B3" s="244" t="n">
        <v>0</v>
      </c>
    </row>
    <row r="4">
      <c r="A4" s="244" t="inlineStr">
        <is>
          <t>Kolommen</t>
        </is>
      </c>
      <c r="B4" s="244" t="n">
        <v>0</v>
      </c>
    </row>
    <row r="5">
      <c r="A5" s="244" t="inlineStr">
        <is>
          <t>Gevelpanelen</t>
        </is>
      </c>
      <c r="B5" s="244" t="n">
        <v>0</v>
      </c>
    </row>
    <row r="6">
      <c r="A6" s="244" t="inlineStr">
        <is>
          <t>Deuren</t>
        </is>
      </c>
      <c r="B6" s="244" t="n">
        <v>0</v>
      </c>
    </row>
    <row r="7">
      <c r="A7" s="244" t="inlineStr">
        <is>
          <t>Vloeren</t>
        </is>
      </c>
      <c r="B7" s="244" t="n">
        <v>0.17</v>
      </c>
    </row>
    <row r="8">
      <c r="A8" s="244" t="inlineStr">
        <is>
          <t>Daken</t>
        </is>
      </c>
      <c r="B8" s="244" t="n">
        <v>0</v>
      </c>
    </row>
    <row r="9">
      <c r="A9" s="244" t="inlineStr">
        <is>
          <t>Wanden</t>
        </is>
      </c>
      <c r="B9" s="244" t="n">
        <v>1.18</v>
      </c>
    </row>
    <row r="10">
      <c r="A10" s="244" t="inlineStr">
        <is>
          <t>Ramen</t>
        </is>
      </c>
      <c r="B10" s="244" t="n">
        <v>0</v>
      </c>
    </row>
    <row r="11">
      <c r="A11" s="244" t="inlineStr">
        <is>
          <t>Trappen</t>
        </is>
      </c>
      <c r="B11" s="244" t="n">
        <v>0</v>
      </c>
    </row>
    <row r="15">
      <c r="A15" s="410" t="inlineStr">
        <is>
          <t>DETAIL REGELS (bron: schedules)</t>
        </is>
      </c>
    </row>
    <row r="16">
      <c r="A16" s="405" t="inlineStr">
        <is>
          <t>Herkomst</t>
        </is>
      </c>
      <c r="B16" s="405" t="inlineStr">
        <is>
          <t>Volume</t>
        </is>
      </c>
      <c r="C16" s="405" t="inlineStr">
        <is>
          <t>Materiaal</t>
        </is>
      </c>
      <c r="D16" s="405" t="inlineStr">
        <is>
          <t>Schedule</t>
        </is>
      </c>
    </row>
    <row r="17">
      <c r="A17" t="inlineStr">
        <is>
          <t>Vloeren</t>
        </is>
      </c>
      <c r="B17" t="n">
        <v>0.17</v>
      </c>
      <c r="C17" t="inlineStr">
        <is>
          <t>NLRS_i4_beplating_multiplex</t>
        </is>
      </c>
      <c r="D17" t="inlineStr">
        <is>
          <t>MaterialTakeoff, floor</t>
        </is>
      </c>
    </row>
    <row r="18">
      <c r="A18" t="inlineStr">
        <is>
          <t>Wanden</t>
        </is>
      </c>
      <c r="B18" t="n">
        <v>1.18</v>
      </c>
      <c r="C18" t="inlineStr">
        <is>
          <t>NLRS_i4_beplating_multiplex</t>
        </is>
      </c>
      <c r="D18" t="inlineStr">
        <is>
          <t>MaterialTakeoff, walls</t>
        </is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:r="http://schemas.openxmlformats.org/officeDocument/2006/relationships" xmlns="http://schemas.openxmlformats.org/spreadsheetml/2006/main">
  <sheetPr>
    <tabColor theme="6" tint="0.7999816888943144"/>
    <outlinePr summaryBelow="1" summaryRight="1"/>
    <pageSetUpPr/>
  </sheetPr>
  <dimension ref="A1:AC17"/>
  <sheetViews>
    <sheetView zoomScale="110" zoomScaleNormal="110" workbookViewId="0">
      <selection activeCell="W2" sqref="W2"/>
    </sheetView>
  </sheetViews>
  <sheetFormatPr baseColWidth="8" defaultColWidth="8.796875" defaultRowHeight="15" customHeight="1"/>
  <cols>
    <col width="13.1328125" customWidth="1" min="1" max="1"/>
    <col width="36" customWidth="1" min="2" max="2"/>
    <col width="41.19921875" customWidth="1" min="3" max="3"/>
    <col width="30.1328125" customWidth="1" min="4" max="4"/>
    <col width="18" customWidth="1" min="5" max="5"/>
    <col width="19" customWidth="1" min="6" max="6"/>
    <col width="24" customWidth="1" min="7" max="7"/>
    <col width="19.1328125" customWidth="1" min="8" max="8"/>
    <col width="18" customWidth="1" min="9" max="9"/>
    <col width="20.46484375" customWidth="1" min="10" max="11"/>
    <col width="27.46484375" bestFit="1" customWidth="1" min="12" max="12"/>
    <col width="18" customWidth="1" min="13" max="13"/>
    <col width="20" customWidth="1" min="14" max="14"/>
    <col width="16" customWidth="1" min="15" max="15"/>
    <col width="16.1328125" bestFit="1" customWidth="1" min="16" max="16"/>
    <col width="18" customWidth="1" min="17" max="17"/>
    <col width="22" customWidth="1" min="18" max="18"/>
    <col width="20" customWidth="1" min="19" max="19"/>
    <col width="18" customWidth="1" min="20" max="21"/>
    <col width="16" customWidth="1" min="22" max="23"/>
    <col width="30.1328125" bestFit="1" customWidth="1" min="24" max="24"/>
    <col width="42" customWidth="1" min="25" max="25"/>
    <col width="30.796875" customWidth="1" min="26" max="26"/>
    <col width="12.1328125" customWidth="1" min="27" max="27"/>
    <col width="8.46484375" bestFit="1" customWidth="1" min="28" max="28"/>
    <col width="12.796875" customWidth="1" min="29" max="29"/>
    <col width="20" customWidth="1" min="30" max="30"/>
    <col width="23.1328125" customWidth="1" min="31" max="31"/>
    <col width="22.1328125" customWidth="1" min="32" max="32"/>
    <col width="19.46484375" bestFit="1" customWidth="1" min="33" max="33"/>
  </cols>
  <sheetData>
    <row r="1" ht="15" customHeight="1" thickBot="1">
      <c r="A1" s="375" t="inlineStr">
        <is>
          <t>Materiaal gegevens</t>
        </is>
      </c>
      <c r="F1" s="377" t="inlineStr">
        <is>
          <t>Recovery rate</t>
        </is>
      </c>
      <c r="G1" s="411" t="n"/>
      <c r="H1" s="411" t="n"/>
      <c r="I1" s="411" t="n"/>
      <c r="J1" s="411" t="n"/>
      <c r="K1" s="411" t="n"/>
      <c r="L1" s="411" t="n"/>
      <c r="M1" s="40" t="n"/>
      <c r="N1" s="378" t="inlineStr">
        <is>
          <t>Klimaatimpact</t>
        </is>
      </c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377" t="inlineStr">
        <is>
          <t>Fincancieel</t>
        </is>
      </c>
      <c r="Y1" s="411" t="n"/>
      <c r="Z1" s="40" t="n"/>
      <c r="AA1" s="253" t="n"/>
    </row>
    <row r="2" ht="33" customHeight="1">
      <c r="A2" s="22" t="inlineStr">
        <is>
          <t>Materiaal-ID</t>
        </is>
      </c>
      <c r="B2" s="22" t="inlineStr">
        <is>
          <t>Element</t>
        </is>
      </c>
      <c r="C2" s="23" t="inlineStr">
        <is>
          <t>Materiaalcategorie</t>
        </is>
      </c>
      <c r="D2" s="175" t="inlineStr">
        <is>
          <t>Volume (m3)</t>
        </is>
      </c>
      <c r="E2" s="175" t="inlineStr">
        <is>
          <t>l</t>
        </is>
      </c>
      <c r="F2" s="175" t="inlineStr">
        <is>
          <t xml:space="preserve">Materiaalconditie </t>
        </is>
      </c>
      <c r="G2" s="175" t="inlineStr">
        <is>
          <t xml:space="preserve">Marktpotentie </t>
        </is>
      </c>
      <c r="H2" s="23" t="inlineStr">
        <is>
          <t>Gem. score</t>
        </is>
      </c>
      <c r="I2" s="23" t="inlineStr">
        <is>
          <t>Geschatte recovery rate (%)</t>
        </is>
      </c>
      <c r="J2" s="23" t="inlineStr">
        <is>
          <t>Klasse</t>
        </is>
      </c>
      <c r="K2" s="23" t="inlineStr">
        <is>
          <t>Routeadvies</t>
        </is>
      </c>
      <c r="L2" s="99" t="inlineStr">
        <is>
          <t>Hoog-/laagwaardig</t>
        </is>
      </c>
      <c r="M2" s="101" t="inlineStr">
        <is>
          <t>CO2-nieuw (kg)</t>
        </is>
      </c>
      <c r="N2" s="80" t="inlineStr">
        <is>
          <t>CO2-Hergebruik (kg)</t>
        </is>
      </c>
      <c r="O2" s="80" t="inlineStr">
        <is>
          <t>CO2- recycle (kg)</t>
        </is>
      </c>
      <c r="P2" s="194" t="inlineStr">
        <is>
          <t xml:space="preserve">Transport-impact </t>
        </is>
      </c>
      <c r="Q2" s="194" t="inlineStr">
        <is>
          <t>Transport afstand (km)</t>
        </is>
      </c>
      <c r="R2" s="80" t="inlineStr">
        <is>
          <t>Totale CO2 nieuw</t>
        </is>
      </c>
      <c r="S2" s="80" t="inlineStr">
        <is>
          <t>Totale CO2 hergebruik</t>
        </is>
      </c>
      <c r="T2" s="80" t="inlineStr">
        <is>
          <t>Totale Co2 recycling</t>
        </is>
      </c>
      <c r="U2" s="80" t="inlineStr">
        <is>
          <t>Klimaatbesparing</t>
        </is>
      </c>
      <c r="V2" s="81" t="inlineStr">
        <is>
          <t>Laagste uitstoot</t>
        </is>
      </c>
      <c r="W2" s="45" t="inlineStr">
        <is>
          <t>Verkoopbaar volume (m3)</t>
        </is>
      </c>
      <c r="X2" t="inlineStr">
        <is>
          <t>Verkoopprijs aan retailer per m³</t>
        </is>
      </c>
      <c r="Y2" s="2" t="inlineStr">
        <is>
          <t>Financiële marktwaarde excl. kosten</t>
        </is>
      </c>
    </row>
    <row r="3" ht="14.75" customHeight="1">
      <c r="A3" s="24" t="n"/>
      <c r="B3" s="68" t="inlineStr">
        <is>
          <t>Staal</t>
        </is>
      </c>
      <c r="C3" s="7" t="n"/>
      <c r="D3" s="66" t="n">
        <v>9979.5</v>
      </c>
      <c r="E3" s="144">
        <f>AVERAGE(E4:E7)</f>
        <v/>
      </c>
      <c r="F3" s="144">
        <f>AVERAGE(F4:F7)</f>
        <v/>
      </c>
      <c r="G3" s="144">
        <f>AVERAGE(G4:G7)</f>
        <v/>
      </c>
      <c r="H3" s="144">
        <f>AVERAGE(H4:H7)</f>
        <v/>
      </c>
      <c r="I3" s="202">
        <f>IFERROR(ROUND(Tabel17[[#This Row],[Gem. score]]/5,2),0)</f>
        <v/>
      </c>
      <c r="J3" s="170">
        <f>IF(F2="","",IF(F2&gt;=4,"A-Staal",IF(F2&gt;=2.75,"B-Staal","C-Staal")))</f>
        <v/>
      </c>
      <c r="K3" s="174">
        <f>IF(J3="A-staal","Hergebruik",IF(J3="C-staal","Recycling",IF(H3&gt;=4,"Hergebruik","Recycling")))</f>
        <v/>
      </c>
      <c r="L3" s="204">
        <f>IF(I3&gt;=75%,"Hoogwaardig","Laagwaardig")</f>
        <v/>
      </c>
      <c r="M3" s="102" t="n">
        <v>13345</v>
      </c>
      <c r="N3" s="240" t="n">
        <v>785</v>
      </c>
      <c r="O3" s="240" t="n">
        <v>3925</v>
      </c>
      <c r="P3" s="9" t="n">
        <v>4</v>
      </c>
      <c r="Q3" s="10" t="n">
        <v>50</v>
      </c>
      <c r="R3" s="172">
        <f>Tabel17[[#This Row],[Volume (m3)]]*Tabel17[[#This Row],[CO2-nieuw (kg)]]+Tabel17[[#This Row],[Volume (m3)]]*Tabel17[[#This Row],[Transport afstand (km)]]*Tabel17[[#This Row],[Transport-impact ]]</f>
        <v/>
      </c>
      <c r="S3" s="172">
        <f>Tabel17[[#This Row],[Volume (m3)]]*Tabel17[[#This Row],[CO2-Hergebruik (kg)]]+Tabel17[[#This Row],[Volume (m3)]]*Tabel17[[#This Row],[Transport-impact ]]*Tabel17[[#This Row],[Transport afstand (km)]]</f>
        <v/>
      </c>
      <c r="T3" s="172">
        <f>Tabel17[[#This Row],[Volume (m3)]]*Tabel17[[#This Row],[CO2- recycle (kg)]]+Tabel17[[#This Row],[Volume (m3)]]*Tabel17[[#This Row],[Transport-impact ]]*Tabel17[[#This Row],[Transport afstand (km)]]</f>
        <v/>
      </c>
      <c r="U3" s="57">
        <f>IF(V3="hergebruik",R3-S3,IF(V3="recycling",T3-S3,""))</f>
        <v/>
      </c>
      <c r="V3" s="103">
        <f>IF(S3=MIN(R3:T3),"Hergebruik",IF(T3=MIN(R3:T3),"Recycling","Nieuw"))</f>
        <v/>
      </c>
      <c r="W3" s="100">
        <f>Tabel17[[#This Row],[Volume (m3)]]*Tabel17[[#This Row],[Geschatte recovery rate (%)]]</f>
        <v/>
      </c>
      <c r="X3" s="407">
        <f>IFERROR(VLOOKUP(J3,$A$12:$D$15,4,FALSE),0)</f>
        <v/>
      </c>
      <c r="Y3" s="407">
        <f>SUM(Y4:Y7)</f>
        <v/>
      </c>
    </row>
    <row r="4" ht="14.75" customHeight="1">
      <c r="A4" s="25" t="n">
        <v>1</v>
      </c>
      <c r="B4" s="25" t="inlineStr">
        <is>
          <t>spant</t>
        </is>
      </c>
      <c r="C4" s="5" t="inlineStr">
        <is>
          <t>Constructiestaal</t>
        </is>
      </c>
      <c r="D4" s="58" t="n">
        <v>4</v>
      </c>
      <c r="E4" s="192" t="n">
        <v>5</v>
      </c>
      <c r="F4" s="192" t="n">
        <v>4</v>
      </c>
      <c r="G4" s="192" t="n">
        <v>4</v>
      </c>
      <c r="H4" s="203">
        <f>IF(COUNTA(E4:G4)=0,"",AVERAGE(E4:G4))</f>
        <v/>
      </c>
      <c r="I4" s="128">
        <f>IFERROR(ROUND(Tabel17[[#This Row],[Gem. score]]/5,2),0)</f>
        <v/>
      </c>
      <c r="J4" s="170">
        <f>IF(F3="","",IF(F3&gt;=4,"A-Staal",IF(F3&gt;=2.75,"B-Staal","C-Staal")))</f>
        <v/>
      </c>
      <c r="K4" s="174">
        <f>IF(J4="A-staal","Hergebruik",IF(J4="C-staal","Recycling",IF(H4&gt;=4,"Hergebruik","Recycling")))</f>
        <v/>
      </c>
      <c r="L4" s="176">
        <f>IF(I4&gt;=75%,"Hoogwaardig","Laagwaardig")</f>
        <v/>
      </c>
      <c r="M4" s="102" t="n">
        <v>13345</v>
      </c>
      <c r="N4" s="240" t="n">
        <v>785</v>
      </c>
      <c r="O4" s="240" t="n">
        <v>3925</v>
      </c>
      <c r="P4" s="9" t="n">
        <v>4</v>
      </c>
      <c r="Q4" s="14" t="n">
        <v>20</v>
      </c>
      <c r="R4" s="205">
        <f>Tabel17[[#This Row],[Volume (m3)]]*Tabel17[[#This Row],[CO2-nieuw (kg)]]+Tabel17[[#This Row],[Volume (m3)]]*Tabel17[[#This Row],[Transport afstand (km)]]*Tabel17[[#This Row],[Transport-impact ]]</f>
        <v/>
      </c>
      <c r="S4" s="205">
        <f>Tabel17[[#This Row],[Volume (m3)]]*Tabel17[[#This Row],[CO2-Hergebruik (kg)]]+Tabel17[[#This Row],[Volume (m3)]]*Tabel17[[#This Row],[Transport-impact ]]*Tabel17[[#This Row],[Transport afstand (km)]]</f>
        <v/>
      </c>
      <c r="T4" s="205">
        <f>Tabel17[[#This Row],[Volume (m3)]]*Tabel17[[#This Row],[CO2- recycle (kg)]]+Tabel17[[#This Row],[Volume (m3)]]*Tabel17[[#This Row],[Transport-impact ]]*Tabel17[[#This Row],[Transport afstand (km)]]</f>
        <v/>
      </c>
      <c r="U4" s="57">
        <f>IF(V4="hergebruik",R4-S4,IF(V4="recycling",T4-S4,""))</f>
        <v/>
      </c>
      <c r="V4" s="103">
        <f>IF(S4=MIN(R4:T4),"Hergebruik",IF(T4=MIN(R4:T4),"Recycling","Nieuw"))</f>
        <v/>
      </c>
      <c r="W4" s="100">
        <f>Tabel17[[#This Row],[Volume (m3)]]*Tabel17[[#This Row],[Geschatte recovery rate (%)]]</f>
        <v/>
      </c>
      <c r="X4" s="400">
        <f>IFERROR(VLOOKUP(J4,$A$12:$D$15,4,FALSE),0)</f>
        <v/>
      </c>
      <c r="Y4" s="407">
        <f>Tabel17[[#This Row],[Verkoopbaar volume (m3)]]*Tabel17[[#This Row],[Verkoopprijs aan retailer per m³]]</f>
        <v/>
      </c>
    </row>
    <row r="5" ht="14.75" customHeight="1">
      <c r="A5" s="25" t="n">
        <v>2</v>
      </c>
      <c r="B5" s="25" t="inlineStr">
        <is>
          <t>wapeningstaaf</t>
        </is>
      </c>
      <c r="C5" s="5" t="inlineStr">
        <is>
          <t>Wapeningsstaal en ingebed staal</t>
        </is>
      </c>
      <c r="D5" s="58" t="n">
        <v>4</v>
      </c>
      <c r="E5" s="8" t="n">
        <v>5</v>
      </c>
      <c r="F5" s="8" t="n">
        <v>4</v>
      </c>
      <c r="G5" s="8" t="n">
        <v>4</v>
      </c>
      <c r="H5" s="9">
        <f>IF(COUNTA(E5:G5)=0,"",AVERAGE(E5:G5))</f>
        <v/>
      </c>
      <c r="I5" s="121">
        <f>IFERROR(ROUND(Tabel17[[#This Row],[Gem. score]]/5,2),0)</f>
        <v/>
      </c>
      <c r="J5" s="170">
        <f>IF(F4="","",IF(F4&gt;=4,"A-Staal",IF(F4&gt;=2.75,"B-Staal","C-Staal")))</f>
        <v/>
      </c>
      <c r="K5" s="174">
        <f>IF(J5="A-staal","Hergebruik",IF(J5="C-staal","Recycling",IF(H5&gt;=4,"Hergebruik","Recycling")))</f>
        <v/>
      </c>
      <c r="L5" s="176">
        <f>IF(I5&gt;=75%,"Hoogwaardig","Laagwaardig")</f>
        <v/>
      </c>
      <c r="M5" s="102" t="n">
        <v>13345</v>
      </c>
      <c r="N5" s="240" t="n">
        <v>785</v>
      </c>
      <c r="O5" s="240" t="n">
        <v>3925</v>
      </c>
      <c r="P5" s="9" t="n">
        <v>4</v>
      </c>
      <c r="Q5" s="14" t="n">
        <v>20</v>
      </c>
      <c r="R5" s="205">
        <f>Tabel17[[#This Row],[Volume (m3)]]*Tabel17[[#This Row],[CO2-nieuw (kg)]]+Tabel17[[#This Row],[Volume (m3)]]*Tabel17[[#This Row],[Transport afstand (km)]]*Tabel17[[#This Row],[Transport-impact ]]</f>
        <v/>
      </c>
      <c r="S5" s="205">
        <f>Tabel17[[#This Row],[Volume (m3)]]*Tabel17[[#This Row],[CO2-Hergebruik (kg)]]+Tabel17[[#This Row],[Volume (m3)]]*Tabel17[[#This Row],[Transport-impact ]]*Tabel17[[#This Row],[Transport afstand (km)]]</f>
        <v/>
      </c>
      <c r="T5" s="205">
        <f>Tabel17[[#This Row],[Volume (m3)]]*Tabel17[[#This Row],[CO2- recycle (kg)]]+Tabel17[[#This Row],[Volume (m3)]]*Tabel17[[#This Row],[Transport-impact ]]*Tabel17[[#This Row],[Transport afstand (km)]]</f>
        <v/>
      </c>
      <c r="U5" s="57">
        <f>IF(V5="hergebruik",R5-S5,IF(V5="recycling",T5-S5,""))</f>
        <v/>
      </c>
      <c r="V5" s="103">
        <f>IF(S5=MIN(R5:T5),"Hergebruik",IF(T5=MIN(R5:T5),"Recycling","Nieuw"))</f>
        <v/>
      </c>
      <c r="W5" s="100">
        <f>Tabel17[[#This Row],[Volume (m3)]]*Tabel17[[#This Row],[Geschatte recovery rate (%)]]</f>
        <v/>
      </c>
      <c r="X5" s="400">
        <f>IFERROR(VLOOKUP(J5,$A$12:$D$15,4,FALSE),0)</f>
        <v/>
      </c>
      <c r="Y5" s="407">
        <f>Tabel17[[#This Row],[Verkoopbaar volume (m3)]]*Tabel17[[#This Row],[Verkoopprijs aan retailer per m³]]</f>
        <v/>
      </c>
    </row>
    <row r="6" ht="14.75" customHeight="1">
      <c r="A6" s="25" t="n">
        <v>3</v>
      </c>
      <c r="B6" s="25" t="inlineStr">
        <is>
          <t>gevelbeplating</t>
        </is>
      </c>
      <c r="C6" s="5" t="inlineStr">
        <is>
          <t>Plaatstaal en profielstaal</t>
        </is>
      </c>
      <c r="D6" s="58" t="n">
        <v>4</v>
      </c>
      <c r="E6" s="8" t="n">
        <v>5</v>
      </c>
      <c r="F6" s="8" t="n">
        <v>3</v>
      </c>
      <c r="G6" s="8" t="n">
        <v>4</v>
      </c>
      <c r="H6" s="9">
        <f>IF(COUNTA(E6:G6)=0,"",AVERAGE(E6:G6))</f>
        <v/>
      </c>
      <c r="I6" s="121">
        <f>IFERROR(ROUND(Tabel17[[#This Row],[Gem. score]]/5,2),0)</f>
        <v/>
      </c>
      <c r="J6" s="170">
        <f>IF(F5="","",IF(F5&gt;=4,"A-Staal",IF(F5&gt;=2.75,"B-Staal","C-Staal")))</f>
        <v/>
      </c>
      <c r="K6" s="174">
        <f>IF(J6="A-staal","Hergebruik",IF(J6="C-staal","Recycling",IF(H6&gt;=4,"Hergebruik","Recycling")))</f>
        <v/>
      </c>
      <c r="L6" s="176">
        <f>IF(I6&gt;=75%,"Hoogwaardig","Laagwaardig")</f>
        <v/>
      </c>
      <c r="M6" s="102" t="n">
        <v>13345</v>
      </c>
      <c r="N6" s="240" t="n">
        <v>785</v>
      </c>
      <c r="O6" s="240" t="n">
        <v>3925</v>
      </c>
      <c r="P6" s="9" t="n">
        <v>4</v>
      </c>
      <c r="Q6" s="14" t="n">
        <v>20</v>
      </c>
      <c r="R6" s="75">
        <f>Tabel17[[#This Row],[Volume (m3)]]*Tabel17[[#This Row],[CO2-nieuw (kg)]]+Tabel17[[#This Row],[Volume (m3)]]*Tabel17[[#This Row],[Transport afstand (km)]]*Tabel17[[#This Row],[Transport-impact ]]</f>
        <v/>
      </c>
      <c r="S6" s="75">
        <f>Tabel17[[#This Row],[Volume (m3)]]*Tabel17[[#This Row],[CO2-Hergebruik (kg)]]+Tabel17[[#This Row],[Volume (m3)]]*Tabel17[[#This Row],[Transport-impact ]]*Tabel17[[#This Row],[Transport afstand (km)]]</f>
        <v/>
      </c>
      <c r="T6" s="75">
        <f>Tabel17[[#This Row],[Volume (m3)]]*Tabel17[[#This Row],[CO2- recycle (kg)]]+Tabel17[[#This Row],[Volume (m3)]]*Tabel17[[#This Row],[Transport-impact ]]*Tabel17[[#This Row],[Transport afstand (km)]]</f>
        <v/>
      </c>
      <c r="U6" s="57">
        <f>IF(V6="hergebruik",R6-S6,IF(V6="recycling",T6-S6,""))</f>
        <v/>
      </c>
      <c r="V6" s="103">
        <f>IF(S6=MIN(R6:T6),"Hergebruik",IF(T6=MIN(R6:T6),"Recycling","Nieuw"))</f>
        <v/>
      </c>
      <c r="W6" s="100">
        <f>Tabel17[[#This Row],[Volume (m3)]]*Tabel17[[#This Row],[Geschatte recovery rate (%)]]</f>
        <v/>
      </c>
      <c r="X6" s="400">
        <f>IFERROR(VLOOKUP(J6,$A$12:$D$15,4,FALSE),0)</f>
        <v/>
      </c>
      <c r="Y6" s="407">
        <f>Tabel17[[#This Row],[Verkoopbaar volume (m3)]]*Tabel17[[#This Row],[Verkoopprijs aan retailer per m³]]</f>
        <v/>
      </c>
    </row>
    <row r="7" ht="14.75" customHeight="1">
      <c r="A7" s="25" t="n">
        <v>4</v>
      </c>
      <c r="B7" s="25" t="inlineStr">
        <is>
          <t>hekwerk</t>
        </is>
      </c>
      <c r="C7" s="5" t="inlineStr">
        <is>
          <t>Installatie-, bevestigings- en veiligheidsstaal</t>
        </is>
      </c>
      <c r="D7" s="58" t="n">
        <v>4</v>
      </c>
      <c r="E7" s="8" t="n">
        <v>5</v>
      </c>
      <c r="F7" s="8" t="n">
        <v>3</v>
      </c>
      <c r="G7" s="8" t="n">
        <v>3</v>
      </c>
      <c r="H7" s="9">
        <f>IF(COUNTA(E7:G7)=0,"",AVERAGE(E7:G7))</f>
        <v/>
      </c>
      <c r="I7" s="121">
        <f>IFERROR(ROUND(Tabel17[[#This Row],[Gem. score]]/5,2),0)</f>
        <v/>
      </c>
      <c r="J7" s="170" t="inlineStr">
        <is>
          <t>Bijzonder Staal</t>
        </is>
      </c>
      <c r="K7" s="174">
        <f>IF(J7="A-staal","Hergebruik",IF(J7="C-staal","Recycling",IF(H7&gt;=4,"Hergebruik","Recycling")))</f>
        <v/>
      </c>
      <c r="L7" s="176">
        <f>IF(I7&gt;=75%,"Hoogwaardig","Laagwaardig")</f>
        <v/>
      </c>
      <c r="M7" s="102" t="n">
        <v>13345</v>
      </c>
      <c r="N7" s="240" t="n">
        <v>785</v>
      </c>
      <c r="O7" s="240" t="n">
        <v>3925</v>
      </c>
      <c r="P7" s="9" t="n">
        <v>4</v>
      </c>
      <c r="Q7" s="14" t="n">
        <v>20</v>
      </c>
      <c r="R7" s="75">
        <f>Tabel17[[#This Row],[Volume (m3)]]*Tabel17[[#This Row],[CO2-nieuw (kg)]]+Tabel17[[#This Row],[Volume (m3)]]*Tabel17[[#This Row],[Transport afstand (km)]]*Tabel17[[#This Row],[Transport-impact ]]</f>
        <v/>
      </c>
      <c r="S7" s="75">
        <f>Tabel17[[#This Row],[Volume (m3)]]*Tabel17[[#This Row],[CO2-Hergebruik (kg)]]+Tabel17[[#This Row],[Volume (m3)]]*Tabel17[[#This Row],[Transport-impact ]]*Tabel17[[#This Row],[Transport afstand (km)]]</f>
        <v/>
      </c>
      <c r="T7" s="75">
        <f>Tabel17[[#This Row],[Volume (m3)]]*Tabel17[[#This Row],[CO2- recycle (kg)]]+Tabel17[[#This Row],[Volume (m3)]]*Tabel17[[#This Row],[Transport-impact ]]*Tabel17[[#This Row],[Transport afstand (km)]]</f>
        <v/>
      </c>
      <c r="U7" s="57">
        <f>IF(V7="hergebruik",R7-S7,IF(V7="recycling",T7-S7,""))</f>
        <v/>
      </c>
      <c r="V7" s="104">
        <f>IF(S7=MIN(R7:T7),"Hergebruik",IF(T7=MIN(R7:T7),"Recycling","Nieuw"))</f>
        <v/>
      </c>
      <c r="W7" s="100">
        <f>Tabel17[[#This Row],[Volume (m3)]]*Tabel17[[#This Row],[Geschatte recovery rate (%)]]</f>
        <v/>
      </c>
      <c r="X7" s="400">
        <f>IFERROR(VLOOKUP(J7,$A$12:$D$15,4,FALSE),0)</f>
        <v/>
      </c>
      <c r="Y7" s="407">
        <f>Tabel17[[#This Row],[Verkoopbaar volume (m3)]]*Tabel17[[#This Row],[Verkoopprijs aan retailer per m³]]</f>
        <v/>
      </c>
    </row>
    <row r="10" ht="14.25" customHeight="1"/>
    <row r="11" ht="84" customHeight="1">
      <c r="A11" s="45" t="inlineStr">
        <is>
          <t>Staalklasse</t>
        </is>
      </c>
      <c r="B11" s="47" t="inlineStr">
        <is>
          <t>Retail hergebruik-/recyclingprijs per m³</t>
        </is>
      </c>
      <c r="C11" s="47" t="inlineStr">
        <is>
          <t>Retailer-inkoopfactor</t>
        </is>
      </c>
      <c r="D11" s="47" t="inlineStr">
        <is>
          <t>Verkoopprijs aan retailer per m³</t>
        </is>
      </c>
      <c r="L11" s="120" t="n"/>
    </row>
    <row r="12" ht="14.25" customHeight="1">
      <c r="A12" s="44" t="inlineStr">
        <is>
          <t>A-staal</t>
        </is>
      </c>
      <c r="B12" s="413" t="n">
        <v>300</v>
      </c>
      <c r="C12" s="53" t="n">
        <v>0.85</v>
      </c>
      <c r="D12" s="46">
        <f>Tabel23[[#This Row],[Retailer-inkoopfactor]]*Tabel23[[#This Row],[Retail hergebruik-/recyclingprijs per m³]]</f>
        <v/>
      </c>
    </row>
    <row r="13" ht="14.25" customHeight="1">
      <c r="A13" s="44" t="inlineStr">
        <is>
          <t>B-staal</t>
        </is>
      </c>
      <c r="B13" s="413" t="n">
        <v>200</v>
      </c>
      <c r="C13" s="53" t="n">
        <v>0.75</v>
      </c>
      <c r="D13" s="46">
        <f>Tabel23[[#This Row],[Retailer-inkoopfactor]]*Tabel23[[#This Row],[Retail hergebruik-/recyclingprijs per m³]]</f>
        <v/>
      </c>
    </row>
    <row r="14" ht="14.25" customHeight="1">
      <c r="A14" s="44" t="inlineStr">
        <is>
          <t>C-staal</t>
        </is>
      </c>
      <c r="B14" s="413" t="n">
        <v>150</v>
      </c>
      <c r="C14" s="53" t="n">
        <v>0.6</v>
      </c>
      <c r="D14" s="46">
        <f>Tabel23[[#This Row],[Retailer-inkoopfactor]]*Tabel23[[#This Row],[Retail hergebruik-/recyclingprijs per m³]]</f>
        <v/>
      </c>
    </row>
    <row r="15" ht="14.25" customHeight="1">
      <c r="A15" s="44" t="inlineStr">
        <is>
          <t>Bijzonder staal</t>
        </is>
      </c>
      <c r="B15" s="413" t="n">
        <v>500</v>
      </c>
      <c r="C15" s="53" t="n">
        <v>0.7</v>
      </c>
      <c r="D15" s="46">
        <f>Tabel23[[#This Row],[Retailer-inkoopfactor]]*Tabel23[[#This Row],[Retail hergebruik-/recyclingprijs per m³]]</f>
        <v/>
      </c>
    </row>
    <row r="16" ht="14.25" customHeight="1"/>
    <row r="17" ht="14.25" customHeight="1">
      <c r="AC17" s="5" t="n"/>
    </row>
    <row r="18" ht="14.25" customHeight="1"/>
    <row r="19" ht="14.25" customHeight="1"/>
    <row r="20" ht="14.25" customHeight="1"/>
    <row r="21" ht="14.25" customHeight="1"/>
  </sheetData>
  <mergeCells count="4">
    <mergeCell ref="X1:Z1"/>
    <mergeCell ref="N1:W1"/>
    <mergeCell ref="F1:M1"/>
    <mergeCell ref="A1:E1"/>
  </mergeCells>
  <conditionalFormatting sqref="I3:I7">
    <cfRule type="colorScale" priority="25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Q3:Q7">
    <cfRule type="colorScale" priority="25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sqref="F3:H3 E3:E7 F4:G7 N3:P7" showErrorMessage="1" showInputMessage="1" allowBlank="0" type="list">
      <formula1>"1,2,3,4,5"</formula1>
    </dataValidation>
    <dataValidation sqref="C3 J3:J7" showErrorMessage="1" showInputMessage="1" allowBlank="0" type="list">
      <formula1>"Staal,Hout,Beton,Aluminium,Koper,Keramiek,Bitumen,Overig"</formula1>
    </dataValidation>
  </dataValidations>
  <pageMargins left="0.7" right="0.7" top="0.75" bottom="0.75" header="0.3" footer="0.3"/>
  <legacyDrawing r:id="anysvml"/>
  <tableParts count="2">
    <tablePart r:id="rId1"/>
    <tablePart r:id="rId2"/>
  </tableParts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J11"/>
  <sheetViews>
    <sheetView workbookViewId="0">
      <selection activeCell="F2" sqref="F2:F5"/>
    </sheetView>
  </sheetViews>
  <sheetFormatPr baseColWidth="8" defaultColWidth="8.796875" defaultRowHeight="14.25"/>
  <cols>
    <col width="14.1328125" customWidth="1" min="1" max="1"/>
    <col width="33" customWidth="1" min="2" max="2"/>
    <col width="28.796875" customWidth="1" min="3" max="3"/>
    <col width="40.1328125" customWidth="1" min="4" max="4"/>
    <col width="6.1328125" customWidth="1" min="5" max="5"/>
    <col width="27.796875" customWidth="1" min="6" max="6"/>
    <col width="36.796875" customWidth="1" min="7" max="7"/>
    <col width="29" customWidth="1" min="8" max="8"/>
    <col width="30.796875" customWidth="1" min="9" max="9"/>
    <col width="36.46484375" customWidth="1" min="10" max="10"/>
  </cols>
  <sheetData>
    <row r="1">
      <c r="A1" s="56" t="inlineStr">
        <is>
          <t>Categorie</t>
        </is>
      </c>
      <c r="B1" s="56" t="inlineStr">
        <is>
          <t>Betekenis</t>
        </is>
      </c>
      <c r="C1" s="56" t="inlineStr">
        <is>
          <t>Hoe beoordelen?</t>
        </is>
      </c>
      <c r="D1" s="56" t="inlineStr">
        <is>
          <t>Voorbeelden</t>
        </is>
      </c>
      <c r="F1" s="229" t="inlineStr">
        <is>
          <t>Categorie</t>
        </is>
      </c>
      <c r="G1" s="229" t="inlineStr">
        <is>
          <t>Definitie</t>
        </is>
      </c>
      <c r="H1" s="229" t="inlineStr">
        <is>
          <t xml:space="preserve">Voorbeelden in gebouwen </t>
        </is>
      </c>
      <c r="I1" s="229" t="inlineStr">
        <is>
          <t>Bouwdelen</t>
        </is>
      </c>
      <c r="J1" s="229" t="inlineStr">
        <is>
          <t>Typische gebouwtypen</t>
        </is>
      </c>
    </row>
    <row r="2" ht="28.5" customHeight="1">
      <c r="A2" s="42" t="inlineStr">
        <is>
          <t>A-staal</t>
        </is>
      </c>
      <c r="B2" s="43" t="inlineStr">
        <is>
          <t>Schoon staal met hoge kwaliteit</t>
        </is>
      </c>
      <c r="C2" s="43" t="inlineStr">
        <is>
          <t>Hoge kans op hoogwaardig hergebruik of recycling</t>
        </is>
      </c>
      <c r="D2" s="43" t="inlineStr">
        <is>
          <t>nette stalen dakplaten, profielplaten, stalen bekleding, schone staalplaten</t>
        </is>
      </c>
      <c r="F2" s="231" t="inlineStr">
        <is>
          <t>Constructiestaal</t>
        </is>
      </c>
      <c r="G2" s="98" t="inlineStr">
        <is>
          <t>Dragende stalen elementen die onderdeel zijn van het hoofddraagwerk.</t>
        </is>
      </c>
      <c r="H2" s="98" t="inlineStr">
        <is>
          <t>stalen kolom, spant, vakwerk,</t>
        </is>
      </c>
      <c r="I2" s="98" t="inlineStr">
        <is>
          <t>Draagconstructie, dak, verdieping, halconstructie</t>
        </is>
      </c>
      <c r="J2" s="98" t="inlineStr">
        <is>
          <t>industriehallen, utiliteitsbouw, parkeergarages, grote overspanningen</t>
        </is>
      </c>
    </row>
    <row r="3" ht="28.5" customHeight="1">
      <c r="A3" s="42" t="inlineStr">
        <is>
          <t>B-staal</t>
        </is>
      </c>
      <c r="B3" s="43" t="inlineStr">
        <is>
          <t>Evt lichte schade, coating, vervuiling of minder hergebruikwaarde</t>
        </is>
      </c>
      <c r="C3" s="43" t="inlineStr">
        <is>
          <t>Meestal recycling, soms hergebruik mogelijk</t>
        </is>
      </c>
      <c r="D3" s="43" t="inlineStr">
        <is>
          <t>metal stud, stalen stijl- en regelwerk, lichte profielen, bevestigingsprofielen</t>
        </is>
      </c>
      <c r="F3" s="231" t="inlineStr">
        <is>
          <t>Wapeningsstaal en ingebed staal</t>
        </is>
      </c>
      <c r="G3" s="98" t="inlineStr">
        <is>
          <t>Staal dat in beton of andere bouwdelen is opgenomen.</t>
        </is>
      </c>
      <c r="H3" s="98" t="inlineStr">
        <is>
          <t>wapeningsnet, betonstaal, wapeningstaaf, ankerrail,</t>
        </is>
      </c>
      <c r="I3" s="98" t="inlineStr">
        <is>
          <t>Betonvloeren, wanden, funderingen, balken</t>
        </is>
      </c>
      <c r="J3" s="98" t="inlineStr">
        <is>
          <t>alle gebouwen met betonconstructies</t>
        </is>
      </c>
    </row>
    <row r="4" ht="42.75" customHeight="1">
      <c r="A4" s="42" t="inlineStr">
        <is>
          <t>C-staal</t>
        </is>
      </c>
      <c r="B4" s="43" t="inlineStr">
        <is>
          <t>Gemengd, beschadigd, vervuild of moeilijk herbruikbaar staal</t>
        </is>
      </c>
      <c r="C4" s="43" t="inlineStr">
        <is>
          <t>Vooral geschikt voor recycling als schroot</t>
        </is>
      </c>
      <c r="D4" s="43" t="inlineStr">
        <is>
          <t>gemengde staalfractie, verroest staal, reststukken, staal met onbekende herkomst</t>
        </is>
      </c>
      <c r="F4" s="231" t="inlineStr">
        <is>
          <t>Plaatstaal en profielstaal</t>
        </is>
      </c>
      <c r="G4" s="98" t="inlineStr">
        <is>
          <t>Stalen platen en lichte profielen in gevel, dak en binnenafbouw.</t>
        </is>
      </c>
      <c r="H4" s="98" t="inlineStr">
        <is>
          <t>stalen dakplaat, gevelbeplating, sandwichpaneel staal, metal-stud profiel, stalen kozijn, stalen deur</t>
        </is>
      </c>
      <c r="I4" s="98" t="inlineStr">
        <is>
          <t>Gevel, dak, binnenwanden, kozijnen</t>
        </is>
      </c>
      <c r="J4" s="98" t="inlineStr">
        <is>
          <t>industriegebouwen, utiliteitsbouw, renovatie, systeemwanden</t>
        </is>
      </c>
    </row>
    <row r="5" ht="42.75" customHeight="1">
      <c r="A5" s="42" t="inlineStr">
        <is>
          <t>Bijzonder staal</t>
        </is>
      </c>
      <c r="B5" s="43" t="inlineStr">
        <is>
          <t>Stalen constructies of bouwelementen die niet goed als standaard staalvolume beoordeeld kunnen worden</t>
        </is>
      </c>
      <c r="C5" s="43" t="inlineStr">
        <is>
          <t>Apart beoordelen op functie, maatvoering, conditie, demontage en hergebruikspotentie</t>
        </is>
      </c>
      <c r="D5" s="43" t="inlineStr">
        <is>
          <t>stalen kolommen, balken, liggers, buisstaalconstructies, stalen kozijnen, trappen, hekwerken, leuningen</t>
        </is>
      </c>
      <c r="F5" s="231" t="inlineStr">
        <is>
          <t>Installatie-, bevestigings- en veiligheidsstaal</t>
        </is>
      </c>
      <c r="G5" s="98" t="inlineStr">
        <is>
          <t>Stalen onderdelen in installaties, verbindingen en gebouwveiligheid.</t>
        </is>
      </c>
      <c r="H5" s="98" t="inlineStr">
        <is>
          <t>kabelgoot, luchtkanaal, stalen leiding, hekwerk, leuning, trap, bouten, moeren, consoles, beugels</t>
        </is>
      </c>
      <c r="I5" s="98" t="inlineStr">
        <is>
          <t>Installaties, trappen, balustrades, bevestigingen</t>
        </is>
      </c>
      <c r="J5" s="98" t="inlineStr">
        <is>
          <t>utiliteitsbouw, industrie, appartementen, parkeergarages</t>
        </is>
      </c>
    </row>
    <row r="7">
      <c r="A7" s="47" t="inlineStr">
        <is>
          <t>Staal PRR</t>
        </is>
      </c>
      <c r="B7" s="45" t="inlineStr">
        <is>
          <t>Routeadvies</t>
        </is>
      </c>
      <c r="C7" s="45" t="inlineStr">
        <is>
          <t>Onderbouwing</t>
        </is>
      </c>
    </row>
    <row r="8" ht="42.75" customHeight="1">
      <c r="A8" s="46" t="inlineStr">
        <is>
          <t>≥ 75%</t>
        </is>
      </c>
      <c r="B8" s="44" t="inlineStr">
        <is>
          <t>Hergebruik</t>
        </is>
      </c>
      <c r="C8" s="44" t="inlineStr">
        <is>
          <t>Schoon en goed demontabel staal kan als profiel of constructief element interessant zijn.</t>
        </is>
      </c>
    </row>
    <row r="9" ht="28.5" customHeight="1">
      <c r="A9" s="46" t="inlineStr">
        <is>
          <t>40% – 74%</t>
        </is>
      </c>
      <c r="B9" s="44" t="inlineStr">
        <is>
          <t>Hergebruik &gt; recycling</t>
        </is>
      </c>
      <c r="C9" s="44" t="inlineStr">
        <is>
          <t>Direct hergebruik is onzeker, maar recycling blijft meestal interessant.</t>
        </is>
      </c>
    </row>
    <row r="10" ht="28.5" customHeight="1">
      <c r="A10" s="46" t="inlineStr">
        <is>
          <t>15% – 39%</t>
        </is>
      </c>
      <c r="B10" s="44" t="inlineStr">
        <is>
          <t>Recycling</t>
        </is>
      </c>
      <c r="C10" s="44" t="inlineStr">
        <is>
          <t>Ook lager scorend staal heeft vaak nog schrootwaarde.</t>
        </is>
      </c>
    </row>
    <row r="11" ht="28.5" customHeight="1">
      <c r="A11" s="46" t="inlineStr">
        <is>
          <t>&lt; 15%</t>
        </is>
      </c>
      <c r="B11" s="44" t="inlineStr">
        <is>
          <t>Handmatig beoordelen</t>
        </is>
      </c>
      <c r="C11" s="44" t="inlineStr">
        <is>
          <t>Alleen bij zeer lage score of onduidelijke/vervuilde stroom.</t>
        </is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16"/>
  <sheetViews>
    <sheetView workbookViewId="0">
      <selection activeCell="K25" sqref="K25"/>
    </sheetView>
  </sheetViews>
  <sheetFormatPr baseColWidth="8" defaultColWidth="8.796875" defaultRowHeight="14.25"/>
  <cols>
    <col width="20" bestFit="1" customWidth="1" min="1" max="1"/>
    <col width="15" customWidth="1" min="2" max="2"/>
    <col width="35" customWidth="1" min="3" max="3"/>
    <col width="35" customWidth="1" min="4" max="4"/>
  </cols>
  <sheetData>
    <row r="1">
      <c r="A1" s="405" t="inlineStr">
        <is>
          <t>Herkomst</t>
        </is>
      </c>
      <c r="B1" s="405" t="inlineStr">
        <is>
          <t>Volume (m³)</t>
        </is>
      </c>
    </row>
    <row r="2">
      <c r="A2" s="406" t="inlineStr">
        <is>
          <t>Totaal</t>
        </is>
      </c>
      <c r="B2" s="406">
        <f>SUM(B3:B11)</f>
        <v/>
      </c>
    </row>
    <row r="3">
      <c r="A3" s="244" t="inlineStr">
        <is>
          <t>Plafonds</t>
        </is>
      </c>
      <c r="B3" s="244" t="n">
        <v>0</v>
      </c>
    </row>
    <row r="4">
      <c r="A4" s="244" t="inlineStr">
        <is>
          <t>Kolommen</t>
        </is>
      </c>
      <c r="B4" s="244" t="n">
        <v>0</v>
      </c>
    </row>
    <row r="5">
      <c r="A5" s="244" t="inlineStr">
        <is>
          <t>Gevelpanelen</t>
        </is>
      </c>
      <c r="B5" s="244" t="n">
        <v>0</v>
      </c>
    </row>
    <row r="6">
      <c r="A6" s="244" t="inlineStr">
        <is>
          <t>Deuren</t>
        </is>
      </c>
      <c r="B6" s="244" t="n">
        <v>0</v>
      </c>
    </row>
    <row r="7">
      <c r="A7" s="244" t="inlineStr">
        <is>
          <t>Vloeren</t>
        </is>
      </c>
      <c r="B7" s="244" t="n">
        <v>0</v>
      </c>
    </row>
    <row r="8">
      <c r="A8" s="244" t="inlineStr">
        <is>
          <t>Daken</t>
        </is>
      </c>
      <c r="B8" s="244" t="n">
        <v>0</v>
      </c>
    </row>
    <row r="9">
      <c r="A9" s="244" t="inlineStr">
        <is>
          <t>Wanden</t>
        </is>
      </c>
      <c r="B9" s="244" t="n">
        <v>0</v>
      </c>
    </row>
    <row r="10">
      <c r="A10" s="244" t="inlineStr">
        <is>
          <t>Ramen</t>
        </is>
      </c>
      <c r="B10" s="244" t="n">
        <v>0</v>
      </c>
    </row>
    <row r="11">
      <c r="A11" s="244" t="inlineStr">
        <is>
          <t>Trappen</t>
        </is>
      </c>
      <c r="B11" s="244" t="n">
        <v>0</v>
      </c>
    </row>
    <row r="15">
      <c r="A15" s="410" t="inlineStr">
        <is>
          <t>DETAIL REGELS (bron: schedules)</t>
        </is>
      </c>
    </row>
    <row r="16">
      <c r="A16" s="405" t="inlineStr">
        <is>
          <t>Herkomst</t>
        </is>
      </c>
      <c r="B16" s="405" t="inlineStr">
        <is>
          <t>Volume</t>
        </is>
      </c>
      <c r="C16" s="405" t="inlineStr">
        <is>
          <t>Materiaal</t>
        </is>
      </c>
      <c r="D16" s="405" t="inlineStr">
        <is>
          <t>Schedule</t>
        </is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:r="http://schemas.openxmlformats.org/officeDocument/2006/relationships" xmlns="http://schemas.openxmlformats.org/spreadsheetml/2006/main">
  <sheetPr>
    <tabColor theme="6" tint="0.7999816888943144"/>
    <outlinePr summaryBelow="1" summaryRight="1"/>
    <pageSetUpPr/>
  </sheetPr>
  <dimension ref="A1:Z14"/>
  <sheetViews>
    <sheetView topLeftCell="J1" zoomScale="78" zoomScaleNormal="90" workbookViewId="0">
      <selection activeCell="W2" sqref="W2"/>
    </sheetView>
  </sheetViews>
  <sheetFormatPr baseColWidth="8" defaultColWidth="8.796875" defaultRowHeight="14.25"/>
  <cols>
    <col width="15" customWidth="1" min="1" max="1"/>
    <col width="24.796875" customWidth="1" min="2" max="2"/>
    <col width="40.796875" customWidth="1" min="3" max="3"/>
    <col width="22.1328125" customWidth="1" min="4" max="4"/>
    <col width="18" customWidth="1" min="5" max="5"/>
    <col width="22.796875" bestFit="1" customWidth="1" min="6" max="6"/>
    <col width="20.1328125" bestFit="1" customWidth="1" min="7" max="7"/>
    <col width="15.796875" customWidth="1" min="8" max="8"/>
    <col width="28.1328125" customWidth="1" min="9" max="9"/>
    <col width="23.796875" customWidth="1" min="10" max="10"/>
    <col width="21.1328125" customWidth="1" min="11" max="11"/>
    <col width="18" customWidth="1" min="12" max="13"/>
    <col width="15.796875" customWidth="1" min="14" max="14"/>
    <col width="15.46484375" customWidth="1" min="15" max="15"/>
    <col width="18" customWidth="1" min="16" max="16"/>
    <col width="22" customWidth="1" min="17" max="17"/>
    <col width="20" customWidth="1" min="18" max="18"/>
    <col width="18" customWidth="1" min="19" max="20"/>
    <col width="16" customWidth="1" min="21" max="22"/>
    <col width="14" customWidth="1" min="23" max="23"/>
    <col width="35.796875" customWidth="1" min="24" max="24"/>
    <col width="36.1328125" bestFit="1" customWidth="1" min="25" max="25"/>
  </cols>
  <sheetData>
    <row r="1" ht="17.25" customHeight="1" thickBot="1">
      <c r="A1" s="375" t="inlineStr">
        <is>
          <t>materiaal gegevens</t>
        </is>
      </c>
      <c r="F1" s="374" t="inlineStr">
        <is>
          <t>Recovery rate</t>
        </is>
      </c>
      <c r="M1" s="376" t="inlineStr">
        <is>
          <t>Klimaatimpact</t>
        </is>
      </c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379" t="inlineStr">
        <is>
          <t>Fincancieel</t>
        </is>
      </c>
      <c r="X1" s="412" t="n"/>
      <c r="Y1" s="412" t="n"/>
      <c r="Z1" s="252" t="n"/>
    </row>
    <row r="2" ht="28.25" customHeight="1" thickBot="1">
      <c r="A2" s="38" t="inlineStr">
        <is>
          <t>Materiaal-ID</t>
        </is>
      </c>
      <c r="B2" s="38" t="inlineStr">
        <is>
          <t>Element</t>
        </is>
      </c>
      <c r="C2" s="137" t="inlineStr">
        <is>
          <t>Materiaalcategorie</t>
        </is>
      </c>
      <c r="D2" s="181" t="inlineStr">
        <is>
          <t>Volume (m3)</t>
        </is>
      </c>
      <c r="E2" s="181" t="inlineStr">
        <is>
          <t xml:space="preserve">Demonteerbaarheid </t>
        </is>
      </c>
      <c r="F2" s="181" t="inlineStr">
        <is>
          <t xml:space="preserve">Materiaalconditie </t>
        </is>
      </c>
      <c r="G2" s="181" t="inlineStr">
        <is>
          <t xml:space="preserve">Marktpotentie </t>
        </is>
      </c>
      <c r="H2" s="137" t="inlineStr">
        <is>
          <t>Gem. score</t>
        </is>
      </c>
      <c r="I2" s="137" t="inlineStr">
        <is>
          <t>Geschatte recovery rate (%)</t>
        </is>
      </c>
      <c r="J2" s="137" t="inlineStr">
        <is>
          <t>Klasse</t>
        </is>
      </c>
      <c r="K2" s="137" t="inlineStr">
        <is>
          <t>Routeadvies</t>
        </is>
      </c>
      <c r="L2" s="138" t="inlineStr">
        <is>
          <t>Hoog-/laagwaardig</t>
        </is>
      </c>
      <c r="M2" s="123" t="inlineStr">
        <is>
          <t>CO2-nieuw (kg)</t>
        </is>
      </c>
      <c r="N2" s="124" t="inlineStr">
        <is>
          <t>CO2-Hergebruik (kg)</t>
        </is>
      </c>
      <c r="O2" s="124" t="inlineStr">
        <is>
          <t>CO2- recycle (kg)</t>
        </is>
      </c>
      <c r="P2" s="180" t="inlineStr">
        <is>
          <t xml:space="preserve">Transport-impact </t>
        </is>
      </c>
      <c r="Q2" s="180" t="inlineStr">
        <is>
          <t>Transport afstand (km)</t>
        </is>
      </c>
      <c r="R2" s="156" t="inlineStr">
        <is>
          <t>Totale CO2 nieuw</t>
        </is>
      </c>
      <c r="S2" s="156" t="inlineStr">
        <is>
          <t>Totale CO2 hergebruik</t>
        </is>
      </c>
      <c r="T2" s="156" t="inlineStr">
        <is>
          <t>Totale Co2 recycling</t>
        </is>
      </c>
      <c r="U2" s="157" t="inlineStr">
        <is>
          <t>Klimaatbesparing</t>
        </is>
      </c>
      <c r="V2" s="158" t="inlineStr">
        <is>
          <t>Laagste uitstoot</t>
        </is>
      </c>
      <c r="W2" s="45" t="inlineStr">
        <is>
          <t>Verkoopbaar volume (m3)</t>
        </is>
      </c>
      <c r="X2" t="inlineStr">
        <is>
          <t>Verkoopprijs aan retailer per m³</t>
        </is>
      </c>
      <c r="Y2" t="inlineStr">
        <is>
          <t>Financiële marktwaarde excl. kosten</t>
        </is>
      </c>
    </row>
    <row r="3" ht="14.75" customHeight="1" thickBot="1">
      <c r="A3" s="7" t="n"/>
      <c r="B3" s="7" t="n"/>
      <c r="C3" s="7" t="inlineStr">
        <is>
          <t>Totaal</t>
        </is>
      </c>
      <c r="D3" s="7">
        <f>SUM(D4:D7)</f>
        <v/>
      </c>
      <c r="E3" s="255">
        <f>AVERAGE(E4:E7)</f>
        <v/>
      </c>
      <c r="F3" s="255">
        <f>AVERAGE(F4:F7)</f>
        <v/>
      </c>
      <c r="G3" s="255">
        <f>AVERAGE(G4:G7)</f>
        <v/>
      </c>
      <c r="H3" s="256">
        <f>IF(COUNTA(E3:G3)=0,"",AVERAGE(E3:G3))</f>
        <v/>
      </c>
      <c r="I3" s="257">
        <f>AVERAGE(I4:I7)</f>
        <v/>
      </c>
      <c r="J3" s="7" t="n"/>
      <c r="K3" s="174">
        <f>IF(#REF!="A-staal","Hergebruik",IF(#REF!="C-staal","Recycling",IF(H3&gt;=4,"Hergebruik","Recycling")))</f>
        <v/>
      </c>
      <c r="L3" s="258">
        <f>IF(I3&gt;=75%,"Hoogwaardig","Laagwaardig")</f>
        <v/>
      </c>
      <c r="M3" s="259" t="n">
        <v>300</v>
      </c>
      <c r="N3" s="260" t="n">
        <v>200</v>
      </c>
      <c r="O3" s="260" t="n">
        <v>200</v>
      </c>
      <c r="P3" s="261" t="n">
        <v>4</v>
      </c>
      <c r="Q3" s="179" t="n">
        <v>100</v>
      </c>
      <c r="R3" s="262">
        <f>Tabel15[[#This Row],[Volume (m3)]]*Tabel15[[#This Row],[CO2-nieuw (kg)]]+Tabel15[[#This Row],[Volume (m3)]]*Tabel15[[#This Row],[Transport afstand (km)]]*Tabel15[[#This Row],[Transport-impact ]]</f>
        <v/>
      </c>
      <c r="S3" s="262">
        <f>Tabel15[[#This Row],[Volume (m3)]]*Tabel15[[#This Row],[CO2-Hergebruik (kg)]]+Tabel15[[#This Row],[Volume (m3)]]*Tabel15[[#This Row],[Transport-impact ]]*Tabel15[[#This Row],[Transport afstand (km)]]</f>
        <v/>
      </c>
      <c r="T3" s="262">
        <f>Tabel15[[#This Row],[Volume (m3)]]*Tabel15[[#This Row],[CO2- recycle (kg)]]+Tabel15[[#This Row],[Volume (m3)]]*Tabel15[[#This Row],[Transport afstand (km)]]*Tabel15[[#This Row],[Transport-impact ]]</f>
        <v/>
      </c>
      <c r="U3" s="57">
        <f>IF(V3="hergebruik",R3-S3,IF(V3="recycling",T3-S3,""))</f>
        <v/>
      </c>
      <c r="V3" s="177">
        <f>IF(S3=MIN(R3:T3),"Hergebruik",IF(T3=MIN(R3:T3),"Recycling","Nieuw"))</f>
        <v/>
      </c>
      <c r="W3" s="263">
        <f>Tabel15[[#This Row],[Volume (m3)]]*Tabel15[[#This Row],[Geschatte recovery rate (%)]]</f>
        <v/>
      </c>
      <c r="X3" s="414">
        <f>IFERROR(VLOOKUP(#REF!,$A$10:$D$13,4,FALSE),0)</f>
        <v/>
      </c>
      <c r="Y3" s="414">
        <f>Tabel15[[#This Row],[Verkoopbaar volume (m3)]]*Tabel15[[#This Row],[Verkoopprijs aan retailer per m³]]</f>
        <v/>
      </c>
    </row>
    <row r="4" ht="14.65" customHeight="1" thickBot="1">
      <c r="A4" s="15" t="n">
        <v>1</v>
      </c>
      <c r="B4" s="15" t="inlineStr">
        <is>
          <t>kanaalplaatvloer</t>
        </is>
      </c>
      <c r="C4" s="15" t="inlineStr">
        <is>
          <t>Prefab / losse betonelementen</t>
        </is>
      </c>
      <c r="D4" s="127" t="n">
        <v>4</v>
      </c>
      <c r="E4" s="143" t="n">
        <v>5</v>
      </c>
      <c r="F4" s="143" t="n">
        <v>4</v>
      </c>
      <c r="G4" s="143" t="n">
        <v>4</v>
      </c>
      <c r="H4" s="144">
        <f>IF(COUNTA(E4:G4)=0,"",AVERAGE(E4:G4))</f>
        <v/>
      </c>
      <c r="I4" s="145">
        <f>IFERROR(ROUND(Tabel15[[#This Row],[Gem. score]]/5,2),0)</f>
        <v/>
      </c>
      <c r="J4" s="13">
        <f>IF(F2="","",IF(F2&gt;=4,"A-Beton",IF(F2&gt;=2.75,"B-Beton","C-Beton")))</f>
        <v/>
      </c>
      <c r="K4" s="174">
        <f>IF(#REF!="A-beton","Hergebruik",IF(#REF!="C-beton","Recycling",IF(H4&gt;=4,"Hergebruik","Recycling")))</f>
        <v/>
      </c>
      <c r="L4" s="201">
        <f>IF(I4&gt;=75%,"Hoogwaardig","Laagwaardig")</f>
        <v/>
      </c>
      <c r="M4" s="139" t="n">
        <v>300</v>
      </c>
      <c r="N4" s="15" t="n">
        <v>200</v>
      </c>
      <c r="O4" s="15" t="n">
        <v>200</v>
      </c>
      <c r="P4" s="159" t="n">
        <v>4</v>
      </c>
      <c r="Q4" s="179" t="n">
        <v>20</v>
      </c>
      <c r="R4" s="140">
        <f>Tabel15[[#This Row],[Volume (m3)]]*Tabel15[[#This Row],[CO2-nieuw (kg)]]+Tabel15[[#This Row],[Volume (m3)]]*Tabel15[[#This Row],[Transport afstand (km)]]*Tabel15[[#This Row],[Transport-impact ]]</f>
        <v/>
      </c>
      <c r="S4" s="140">
        <f>Tabel15[[#This Row],[Volume (m3)]]*Tabel15[[#This Row],[CO2-Hergebruik (kg)]]+Tabel15[[#This Row],[Volume (m3)]]*Tabel15[[#This Row],[Transport-impact ]]*Tabel15[[#This Row],[Transport afstand (km)]]</f>
        <v/>
      </c>
      <c r="T4" s="140">
        <f>Tabel15[[#This Row],[Volume (m3)]]*Tabel15[[#This Row],[CO2- recycle (kg)]]+Tabel15[[#This Row],[Volume (m3)]]*Tabel15[[#This Row],[Transport afstand (km)]]*Tabel15[[#This Row],[Transport-impact ]]</f>
        <v/>
      </c>
      <c r="U4" s="57">
        <f>IF(V4="hergebruik",R4-S4,IF(V4="recycling",T4-S4,""))</f>
        <v/>
      </c>
      <c r="V4" s="132">
        <f>IF(S4=MIN(R4:T4),"Hergebruik",IF(T4=MIN(R4:T4),"Recycling","Nieuw"))</f>
        <v/>
      </c>
      <c r="W4" s="155">
        <f>Tabel15[[#This Row],[Volume (m3)]]*Tabel15[[#This Row],[Geschatte recovery rate (%)]]</f>
        <v/>
      </c>
      <c r="X4" s="415">
        <f>IFERROR(VLOOKUP(#REF!,$A$10:$D$13,4,FALSE),0)</f>
        <v/>
      </c>
      <c r="Y4" s="416">
        <f>Tabel15[[#This Row],[Verkoopbaar volume (m3)]]*Tabel15[[#This Row],[Verkoopprijs aan retailer per m³]]</f>
        <v/>
      </c>
    </row>
    <row r="5" ht="14.65" customHeight="1" thickBot="1">
      <c r="A5" s="15" t="n">
        <v>2</v>
      </c>
      <c r="B5" s="15" t="inlineStr">
        <is>
          <t xml:space="preserve"> funderingsbalk</t>
        </is>
      </c>
      <c r="C5" s="265" t="inlineStr">
        <is>
          <t>Gewapend / voorgespannen constructief beton</t>
        </is>
      </c>
      <c r="D5" s="127" t="n">
        <v>4</v>
      </c>
      <c r="E5" s="143" t="n">
        <v>5</v>
      </c>
      <c r="F5" s="143" t="n">
        <v>3</v>
      </c>
      <c r="G5" s="143" t="n">
        <v>4</v>
      </c>
      <c r="H5" s="144">
        <f>IF(COUNTA(E5:G5)=0,"",AVERAGE(E5:G5))</f>
        <v/>
      </c>
      <c r="I5" s="145">
        <f>IFERROR(ROUND(Tabel15[[#This Row],[Gem. score]]/5,2),0)</f>
        <v/>
      </c>
      <c r="J5" s="13">
        <f>IF(F3="","",IF(F3&gt;=4,"A-Beton",IF(F3&gt;=2.75,"B-Beton","C-Beton")))</f>
        <v/>
      </c>
      <c r="K5" s="174">
        <f>IF(#REF!="A-beton","Hergebruik",IF(#REF!="C-beton","Recycling",IF(H5&gt;=4,"Hergebruik","Recycling")))</f>
        <v/>
      </c>
      <c r="L5" s="201">
        <f>IF(I5&gt;=75%,"Hoogwaardig","Laagwaardig")</f>
        <v/>
      </c>
      <c r="M5" s="139" t="n">
        <v>300</v>
      </c>
      <c r="N5" s="15" t="n">
        <v>200</v>
      </c>
      <c r="O5" s="15" t="n">
        <v>200</v>
      </c>
      <c r="P5" s="159" t="n">
        <v>4</v>
      </c>
      <c r="Q5" s="179" t="n">
        <v>20</v>
      </c>
      <c r="R5" s="140">
        <f>Tabel15[[#This Row],[Volume (m3)]]*Tabel15[[#This Row],[CO2-nieuw (kg)]]+Tabel15[[#This Row],[Volume (m3)]]*Tabel15[[#This Row],[Transport afstand (km)]]*Tabel15[[#This Row],[Transport-impact ]]</f>
        <v/>
      </c>
      <c r="S5" s="140">
        <f>Tabel15[[#This Row],[Volume (m3)]]*Tabel15[[#This Row],[CO2-Hergebruik (kg)]]+Tabel15[[#This Row],[Volume (m3)]]*Tabel15[[#This Row],[Transport-impact ]]*Tabel15[[#This Row],[Transport afstand (km)]]</f>
        <v/>
      </c>
      <c r="T5" s="140">
        <f>Tabel15[[#This Row],[Volume (m3)]]*Tabel15[[#This Row],[CO2- recycle (kg)]]+Tabel15[[#This Row],[Volume (m3)]]*Tabel15[[#This Row],[Transport afstand (km)]]*Tabel15[[#This Row],[Transport-impact ]]</f>
        <v/>
      </c>
      <c r="U5" s="57">
        <f>IF(V5="hergebruik",R5-S5,IF(V5="recycling",T5-S5,""))</f>
        <v/>
      </c>
      <c r="V5" s="132">
        <f>IF(S5=MIN(R5:T5),"Hergebruik",IF(T5=MIN(R5:T5),"Recycling","Nieuw"))</f>
        <v/>
      </c>
      <c r="W5" s="155">
        <f>Tabel15[[#This Row],[Volume (m3)]]*Tabel15[[#This Row],[Geschatte recovery rate (%)]]</f>
        <v/>
      </c>
      <c r="X5" s="415">
        <f>IFERROR(VLOOKUP(#REF!,$A$10:$D$13,4,FALSE),0)</f>
        <v/>
      </c>
      <c r="Y5" s="416">
        <f>Tabel15[[#This Row],[Verkoopbaar volume (m3)]]*Tabel15[[#This Row],[Verkoopprijs aan retailer per m³]]</f>
        <v/>
      </c>
    </row>
    <row r="6" ht="14.75" customHeight="1">
      <c r="A6" s="15" t="n">
        <v>3</v>
      </c>
      <c r="B6" s="15" t="inlineStr">
        <is>
          <t>druklaag</t>
        </is>
      </c>
      <c r="C6" s="15" t="inlineStr">
        <is>
          <t>Ongewapend / massief beton</t>
        </is>
      </c>
      <c r="D6" s="127" t="n">
        <v>4</v>
      </c>
      <c r="E6" s="143" t="n">
        <v>1</v>
      </c>
      <c r="F6" s="143" t="n">
        <v>2</v>
      </c>
      <c r="G6" s="143" t="n">
        <v>3</v>
      </c>
      <c r="H6" s="144">
        <f>IF(COUNTA(E6:G6)=0,"",AVERAGE(E6:G6))</f>
        <v/>
      </c>
      <c r="I6" s="145">
        <f>IFERROR(ROUND(Tabel15[[#This Row],[Gem. score]]/5,2),0)</f>
        <v/>
      </c>
      <c r="J6" s="13">
        <f>IF(F4="","",IF(F4&gt;=4,"A-Beton",IF(F4&gt;=2.75,"B-Beton","C-Beton")))</f>
        <v/>
      </c>
      <c r="K6" s="174">
        <f>IF(#REF!="A-beton","Hergebruik",IF(#REF!="C-beton","Recycling",IF(H6&gt;=4,"Hergebruik","Recycling")))</f>
        <v/>
      </c>
      <c r="L6" s="201">
        <f>IF(I6&gt;=75%,"Hoogwaardig","Laagwaardig")</f>
        <v/>
      </c>
      <c r="M6" s="139" t="n">
        <v>300</v>
      </c>
      <c r="N6" s="15" t="n">
        <v>200</v>
      </c>
      <c r="O6" s="15" t="n">
        <v>200</v>
      </c>
      <c r="P6" s="159" t="n">
        <v>4</v>
      </c>
      <c r="Q6" s="179" t="n">
        <v>20</v>
      </c>
      <c r="R6" s="140">
        <f>Tabel15[[#This Row],[Volume (m3)]]*Tabel15[[#This Row],[CO2-nieuw (kg)]]+Tabel15[[#This Row],[Volume (m3)]]*Tabel15[[#This Row],[Transport afstand (km)]]*Tabel15[[#This Row],[Transport-impact ]]</f>
        <v/>
      </c>
      <c r="S6" s="140">
        <f>Tabel15[[#This Row],[Volume (m3)]]*Tabel15[[#This Row],[CO2-Hergebruik (kg)]]+Tabel15[[#This Row],[Volume (m3)]]*Tabel15[[#This Row],[Transport-impact ]]*Tabel15[[#This Row],[Transport afstand (km)]]</f>
        <v/>
      </c>
      <c r="T6" s="140">
        <f>Tabel15[[#This Row],[Volume (m3)]]*Tabel15[[#This Row],[CO2- recycle (kg)]]+Tabel15[[#This Row],[Volume (m3)]]*Tabel15[[#This Row],[Transport afstand (km)]]*Tabel15[[#This Row],[Transport-impact ]]</f>
        <v/>
      </c>
      <c r="U6" s="57">
        <f>IF(V6="hergebruik",R6-S6,IF(V6="recycling",T6-S6,""))</f>
        <v/>
      </c>
      <c r="V6" s="132">
        <f>IF(S6=MIN(R6:T6),"Hergebruik",IF(T6=MIN(R6:T6),"Recycling","Nieuw"))</f>
        <v/>
      </c>
      <c r="W6" s="155">
        <f>Tabel15[[#This Row],[Volume (m3)]]*Tabel15[[#This Row],[Geschatte recovery rate (%)]]</f>
        <v/>
      </c>
      <c r="X6" s="415">
        <f>IFERROR(VLOOKUP(#REF!,$A$10:$D$13,4,FALSE),0)</f>
        <v/>
      </c>
      <c r="Y6" s="416">
        <f>Tabel15[[#This Row],[Verkoopbaar volume (m3)]]*Tabel15[[#This Row],[Verkoopprijs aan retailer per m³]]</f>
        <v/>
      </c>
    </row>
    <row r="7" ht="28.9" customHeight="1" thickBot="1">
      <c r="A7" s="15" t="n">
        <v>4</v>
      </c>
      <c r="B7" s="15" t="inlineStr">
        <is>
          <t>cellenbeton</t>
        </is>
      </c>
      <c r="C7" s="15" t="inlineStr">
        <is>
          <t>Cementgebonden afwerkbeton en betonproducten</t>
        </is>
      </c>
      <c r="D7" s="127" t="n">
        <v>4</v>
      </c>
      <c r="E7" s="148" t="n">
        <v>5</v>
      </c>
      <c r="F7" s="148" t="n">
        <v>4</v>
      </c>
      <c r="G7" s="148" t="n">
        <v>4</v>
      </c>
      <c r="H7" s="144">
        <f>IF(COUNTA(E7:G7)=0,"",AVERAGE(E7:G7))</f>
        <v/>
      </c>
      <c r="I7" s="145">
        <f>IFERROR(ROUND(Tabel15[[#This Row],[Gem. score]]/5,2),0)</f>
        <v/>
      </c>
      <c r="J7" s="13">
        <f>IF(F5="","",IF(F5&gt;=4,"A-Beton",IF(F5&gt;=2.75,"B-Beton","C-Beton")))</f>
        <v/>
      </c>
      <c r="K7" s="174">
        <f>IF(#REF!="A-beton","Hergebruik",IF(#REF!="C-beton","Recycling",IF(H7&gt;=4,"Hergebruik","Recycling")))</f>
        <v/>
      </c>
      <c r="L7" s="149" t="n"/>
      <c r="M7" s="150" t="n"/>
      <c r="N7" s="151" t="n"/>
      <c r="O7" s="151" t="n"/>
      <c r="P7" s="151" t="n"/>
      <c r="Q7" s="151" t="n"/>
      <c r="R7" s="151">
        <f>Tabel15[[#This Row],[Volume (m3)]]*Tabel15[[#This Row],[CO2-nieuw (kg)]]+Tabel15[[#This Row],[Volume (m3)]]*Tabel15[[#This Row],[Transport afstand (km)]]*Tabel15[[#This Row],[Transport-impact ]]</f>
        <v/>
      </c>
      <c r="S7" s="152">
        <f>Tabel15[[#This Row],[Volume (m3)]]*Tabel15[[#This Row],[CO2-Hergebruik (kg)]]+Tabel15[[#This Row],[Volume (m3)]]*Tabel15[[#This Row],[Transport-impact ]]*Tabel15[[#This Row],[Transport afstand (km)]]</f>
        <v/>
      </c>
      <c r="T7" s="151">
        <f>Tabel15[[#This Row],[Volume (m3)]]*Tabel15[[#This Row],[CO2- recycle (kg)]]+Tabel15[[#This Row],[Volume (m3)]]*Tabel15[[#This Row],[Transport afstand (km)]]*Tabel15[[#This Row],[Transport-impact ]]</f>
        <v/>
      </c>
      <c r="U7" s="57">
        <f>IF(V7="hergebruik",R7-S7,IF(V7="recycling",T7-S7,""))</f>
        <v/>
      </c>
      <c r="V7" s="178" t="n"/>
      <c r="W7" s="155">
        <f>Tabel15[[#This Row],[Volume (m3)]]*Tabel15[[#This Row],[Geschatte recovery rate (%)]]</f>
        <v/>
      </c>
      <c r="X7" s="415">
        <f>IFERROR(VLOOKUP(#REF!,$A$10:$D$13,4,FALSE),0)</f>
        <v/>
      </c>
      <c r="Y7" s="416">
        <f>Tabel15[[#This Row],[Verkoopbaar volume (m3)]]*Tabel15[[#This Row],[Verkoopprijs aan retailer per m³]]</f>
        <v/>
      </c>
    </row>
    <row r="9" ht="28.5" customHeight="1">
      <c r="A9" s="153" t="inlineStr">
        <is>
          <t>Betoncategorie</t>
        </is>
      </c>
      <c r="B9" s="46" t="inlineStr">
        <is>
          <t>Richtprijs granulaat / acceptatiebasis per m³</t>
        </is>
      </c>
      <c r="C9" s="46" t="inlineStr">
        <is>
          <t>Verwerker-/inkoopfactor</t>
        </is>
      </c>
      <c r="D9" s="46" t="inlineStr">
        <is>
          <t>Netto verkoopprijs / afgifteprijs per m³</t>
        </is>
      </c>
    </row>
    <row r="10">
      <c r="A10" s="44" t="inlineStr">
        <is>
          <t>A-beton</t>
        </is>
      </c>
      <c r="B10" s="417" t="n">
        <v>15</v>
      </c>
      <c r="C10" s="53" t="n">
        <v>-0.1</v>
      </c>
      <c r="D10" s="417">
        <f>Tabel28[[#This Row],[Richtprijs granulaat / acceptatiebasis per m³]]*Tabel28[[#This Row],[Verwerker-/inkoopfactor]]</f>
        <v/>
      </c>
    </row>
    <row r="11">
      <c r="A11" s="44" t="inlineStr">
        <is>
          <t>B-beton</t>
        </is>
      </c>
      <c r="B11" s="417" t="n">
        <v>15</v>
      </c>
      <c r="C11" s="53" t="n">
        <v>-0.5</v>
      </c>
      <c r="D11" s="417">
        <f>Tabel28[[#This Row],[Richtprijs granulaat / acceptatiebasis per m³]]*Tabel28[[#This Row],[Verwerker-/inkoopfactor]]</f>
        <v/>
      </c>
    </row>
    <row r="12" ht="15.4" customHeight="1">
      <c r="A12" s="44" t="inlineStr">
        <is>
          <t>C-beton</t>
        </is>
      </c>
      <c r="B12" s="417" t="n">
        <v>15</v>
      </c>
      <c r="C12" s="53" t="n">
        <v>-1.5</v>
      </c>
      <c r="D12" s="417">
        <f>Tabel28[[#This Row],[Richtprijs granulaat / acceptatiebasis per m³]]*Tabel28[[#This Row],[Verwerker-/inkoopfactor]]</f>
        <v/>
      </c>
      <c r="L12" s="55" t="n"/>
    </row>
    <row r="13">
      <c r="A13" s="44" t="inlineStr">
        <is>
          <t>Bijzonder beton</t>
        </is>
      </c>
      <c r="B13" s="417" t="n">
        <v>25</v>
      </c>
      <c r="C13" s="53" t="n">
        <v>0</v>
      </c>
      <c r="D13" s="417">
        <f>Tabel28[[#This Row],[Richtprijs granulaat / acceptatiebasis per m³]]*Tabel28[[#This Row],[Verwerker-/inkoopfactor]]</f>
        <v/>
      </c>
    </row>
    <row r="14" ht="15.4" customHeight="1">
      <c r="L14" s="54" t="n"/>
    </row>
  </sheetData>
  <mergeCells count="4">
    <mergeCell ref="A1:E1"/>
    <mergeCell ref="M1:V1"/>
    <mergeCell ref="W1:Y1"/>
    <mergeCell ref="F1:L1"/>
  </mergeCells>
  <conditionalFormatting sqref="I3:I7">
    <cfRule type="colorScale" priority="5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Q3:Q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disablePrompts="1" count="3">
    <dataValidation sqref="C5 C3 V7 L7:R7 T7 E7:G7 J3" showErrorMessage="1" showInputMessage="1" allowBlank="0" type="list">
      <formula1>"Staal,Hout,Beton,Aluminium,Koper,Keramiek,Bitumen,Overig"</formula1>
    </dataValidation>
    <dataValidation sqref="N3:P6" showErrorMessage="1" showInputMessage="1" allowBlank="0" type="list">
      <formula1>"1,2,3,4,5"</formula1>
    </dataValidation>
    <dataValidation sqref="E3:G3" showErrorMessage="1" showInputMessage="1" allowBlank="0" type="decimal">
      <formula1>0</formula1>
      <formula2>1</formula2>
    </dataValidation>
  </dataValidations>
  <pageMargins left="0.7" right="0.7" top="0.75" bottom="0.75" header="0.3" footer="0.3"/>
  <pageSetup orientation="portrait" paperSize="9"/>
  <legacyDrawing r:id="anysvml"/>
  <tableParts count="2">
    <tablePart r:id="rId1"/>
    <tablePart r:id="rId2"/>
  </tableParts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J11"/>
  <sheetViews>
    <sheetView topLeftCell="D2" workbookViewId="0">
      <selection activeCell="H5" sqref="H5"/>
    </sheetView>
  </sheetViews>
  <sheetFormatPr baseColWidth="8" defaultColWidth="8.796875" defaultRowHeight="14.25"/>
  <cols>
    <col width="22.796875" customWidth="1" min="1" max="1"/>
    <col width="40.1328125" customWidth="1" min="2" max="2"/>
    <col width="46.1328125" customWidth="1" min="3" max="3"/>
    <col width="35.1328125" customWidth="1" min="4" max="4"/>
    <col width="6.796875" customWidth="1" min="5" max="5"/>
    <col width="29.1328125" customWidth="1" min="6" max="6"/>
    <col width="43.46484375" customWidth="1" min="7" max="7"/>
    <col width="42.46484375" customWidth="1" min="8" max="8"/>
    <col width="27" customWidth="1" min="9" max="9"/>
    <col width="29.1328125" customWidth="1" min="10" max="10"/>
  </cols>
  <sheetData>
    <row r="1">
      <c r="A1" s="56" t="inlineStr">
        <is>
          <t>Categorie</t>
        </is>
      </c>
      <c r="B1" s="56" t="inlineStr">
        <is>
          <t>Betekenis</t>
        </is>
      </c>
      <c r="C1" s="56" t="inlineStr">
        <is>
          <t>Hoe beoordelen?</t>
        </is>
      </c>
      <c r="D1" s="56" t="inlineStr">
        <is>
          <t>Voorbeelden</t>
        </is>
      </c>
      <c r="E1" s="52" t="n"/>
      <c r="F1" s="229" t="inlineStr">
        <is>
          <t>Categorie</t>
        </is>
      </c>
      <c r="G1" s="229" t="inlineStr">
        <is>
          <t>Definitie</t>
        </is>
      </c>
      <c r="H1" s="229" t="inlineStr">
        <is>
          <t xml:space="preserve">Voorbeelden in gebouwen </t>
        </is>
      </c>
      <c r="I1" s="229" t="inlineStr">
        <is>
          <t>Bouwdelen</t>
        </is>
      </c>
      <c r="J1" s="229" t="inlineStr">
        <is>
          <t>Typische gebouwtypen</t>
        </is>
      </c>
    </row>
    <row r="2" ht="42.75" customHeight="1">
      <c r="A2" s="232" t="inlineStr">
        <is>
          <t>A-beton</t>
        </is>
      </c>
      <c r="B2" s="77" t="inlineStr">
        <is>
          <t>Schoon beton of goed demontabel betonelement met duidelijke kwaliteit</t>
        </is>
      </c>
      <c r="C2" s="77" t="inlineStr">
        <is>
          <t>Kans op hergebruik als element of hoogwaardige recycling als betongranulaat</t>
        </is>
      </c>
      <c r="D2" s="77" t="inlineStr">
        <is>
          <t>prefab betonplaten, betonnen liggers, betonnen traptreden, schone betonelementen</t>
        </is>
      </c>
      <c r="F2" s="231" t="inlineStr">
        <is>
          <t>Prefab / losse betonelementen</t>
        </is>
      </c>
      <c r="G2" s="98" t="inlineStr">
        <is>
          <t>Betonelementen die als afzonderlijk product zijn geproduceerd en gemonteerd.</t>
        </is>
      </c>
      <c r="H2" s="98" t="inlineStr">
        <is>
          <t>kanaalplaatvloer, prefab wand, prefab kolom, prefab balk, galerijplaat, balkonplaat, betonnen trap, prefab gevelelement</t>
        </is>
      </c>
      <c r="I2" s="98" t="inlineStr">
        <is>
          <t>Vloeren, wanden, gevel, balkons, trappen</t>
        </is>
      </c>
      <c r="J2" s="98" t="inlineStr">
        <is>
          <t>utiliteitsbouw, appartementen, industrie, parkeergarages</t>
        </is>
      </c>
    </row>
    <row r="3" ht="42.75" customHeight="1">
      <c r="A3" s="232" t="inlineStr">
        <is>
          <t>B-beton</t>
        </is>
      </c>
      <c r="B3" s="77" t="inlineStr">
        <is>
          <t>Beton met lichte wapening, vervuiling of beperkte schade</t>
        </is>
      </c>
      <c r="C3" s="77" t="inlineStr">
        <is>
          <t>Meestal recycling als granulaat; hergebruik alleen bij demontabele elementen</t>
        </is>
      </c>
      <c r="D3" s="77" t="inlineStr">
        <is>
          <t>gewapende betonvloer, betonnen wand, betonnen balk, betonnen kolom</t>
        </is>
      </c>
      <c r="F3" s="231" t="inlineStr">
        <is>
          <t>Gewapend / voorgespannen constructief beton</t>
        </is>
      </c>
      <c r="G3" s="98" t="inlineStr">
        <is>
          <t>Dragend beton met wapening of voorspanning, vaak onderdeel van hoofddraagwerk.</t>
        </is>
      </c>
      <c r="H3" s="98" t="inlineStr">
        <is>
          <t>betonbalk, betonkolom, dragende betonwand, breedplaatvloer, gewapende vloer, funderingsbalk, kelderwand, betonpoer</t>
        </is>
      </c>
      <c r="I3" s="98" t="inlineStr">
        <is>
          <t>Draagconstructie, fundering, vloeren, kelders</t>
        </is>
      </c>
      <c r="J3" s="98" t="inlineStr">
        <is>
          <t>alle gebouwtypen; veel in utiliteit, appartementen en industrie</t>
        </is>
      </c>
    </row>
    <row r="4" ht="42.75" customHeight="1">
      <c r="A4" s="232" t="inlineStr">
        <is>
          <t>C-beton</t>
        </is>
      </c>
      <c r="B4" s="77" t="inlineStr">
        <is>
          <t>Gemengd, gebroken, vervuild of moeilijk scheidbaar beton</t>
        </is>
      </c>
      <c r="C4" s="77" t="inlineStr">
        <is>
          <t>Vooral geschikt voor laagwaardige recycling/downcycling</t>
        </is>
      </c>
      <c r="D4" s="77" t="inlineStr">
        <is>
          <t>betonpuin, gemengd steenachtig puin, vervuild beton, beton met lijm-, tegel- of afwerkresten</t>
        </is>
      </c>
      <c r="F4" s="231" t="inlineStr">
        <is>
          <t>Ongewapend / massief beton</t>
        </is>
      </c>
      <c r="G4" s="98" t="inlineStr">
        <is>
          <t>Beton zonder duidelijke wapening of zonder constructieve elementfunctie.</t>
        </is>
      </c>
      <c r="H4" s="98" t="inlineStr">
        <is>
          <t>werkvloer, opstortlaag, druklaag, massieve funderingslaag, eenvoudige betonvloer, niet-dragende betonlaag</t>
        </is>
      </c>
      <c r="I4" s="98" t="inlineStr">
        <is>
          <t>Vloeren, fundering, onderlagen</t>
        </is>
      </c>
      <c r="J4" s="98" t="inlineStr">
        <is>
          <t>woningbouw, utiliteit, industrie</t>
        </is>
      </c>
    </row>
    <row r="5" ht="42.75" customHeight="1">
      <c r="A5" s="232" t="inlineStr">
        <is>
          <t>Bijzonder beton</t>
        </is>
      </c>
      <c r="B5" s="77" t="inlineStr">
        <is>
          <t>Betonnen constructies of elementen die niet goed als standaard betonvolume beoordeeld kunnen worden</t>
        </is>
      </c>
      <c r="C5" s="77" t="inlineStr">
        <is>
          <t>Apart beoordelen op functie, wapening, maatvoering, demontage, schade en transporteerbaarheid</t>
        </is>
      </c>
      <c r="D5" s="77" t="inlineStr">
        <is>
          <t>funderingen, heipalen, prefab gevelelementen, kanaalplaatvloeren, breedplaatvloeren, betontrappen</t>
        </is>
      </c>
      <c r="F5" s="231" t="inlineStr">
        <is>
          <t>Cementgebonden afwerkbeton en betonproducten</t>
        </is>
      </c>
      <c r="G5" s="98" t="inlineStr">
        <is>
          <t>Afwerklagen, lichte betonproducten en niet-constructieve betonproducten.</t>
        </is>
      </c>
      <c r="H5" s="98" t="inlineStr">
        <is>
          <t>cementdekvloer, zandcementvloer, egalisatielaag, afschotlaag, cellenbeton, gasbeton, betonblokken, betonnen dakpan, betontegel</t>
        </is>
      </c>
      <c r="I5" s="98" t="inlineStr">
        <is>
          <t>Afbouw, vloerafwerking, binnenwanden, dak, terrein</t>
        </is>
      </c>
      <c r="J5" s="98" t="inlineStr">
        <is>
          <t>alle gebouwtypen; cellenbeton veel in binnenwanden</t>
        </is>
      </c>
    </row>
    <row r="7">
      <c r="A7" s="47" t="inlineStr">
        <is>
          <t>PRR</t>
        </is>
      </c>
      <c r="B7" s="45" t="inlineStr">
        <is>
          <t>Routeadvies</t>
        </is>
      </c>
      <c r="C7" s="45" t="inlineStr">
        <is>
          <t>Redenering</t>
        </is>
      </c>
    </row>
    <row r="8" ht="57" customHeight="1">
      <c r="A8" s="47" t="inlineStr">
        <is>
          <t>≥ 90%</t>
        </is>
      </c>
      <c r="B8" s="250" t="inlineStr">
        <is>
          <t>Hergebruik</t>
        </is>
      </c>
      <c r="C8" s="44" t="inlineStr">
        <is>
          <t>Alleen bij zeer hoge terugwinbaarheid is direct hergebruik als betonelement realistisch. Denk aan prefab, goede conditie, goed demontabel en voldoende marktpotentie.</t>
        </is>
      </c>
    </row>
    <row r="9" ht="42.75" customHeight="1">
      <c r="A9" s="47" t="inlineStr">
        <is>
          <t>70% – 89%</t>
        </is>
      </c>
      <c r="B9" s="250" t="inlineStr">
        <is>
          <t>Hergebruik &gt; recycling</t>
        </is>
      </c>
      <c r="C9" s="44" t="inlineStr">
        <is>
          <t>Er is potentie voor hergebruik, maar recycling blijft een realistische terugvaloptie door schade, wapening, maatvoering of transport.</t>
        </is>
      </c>
    </row>
    <row r="10" ht="28.5" customHeight="1">
      <c r="A10" s="47" t="inlineStr">
        <is>
          <t>35% – 69%</t>
        </is>
      </c>
      <c r="B10" s="250" t="inlineStr">
        <is>
          <t>Recycling</t>
        </is>
      </c>
      <c r="C10" s="44" t="inlineStr">
        <is>
          <t>Dit past bij regulier betonpuin dat meestal wordt gebroken en verwerkt tot granulaat.</t>
        </is>
      </c>
    </row>
    <row r="11" ht="28.5" customHeight="1">
      <c r="A11" s="47" t="inlineStr">
        <is>
          <t>&lt; 35%</t>
        </is>
      </c>
      <c r="B11" s="250" t="inlineStr">
        <is>
          <t>Handmatig beoordelen</t>
        </is>
      </c>
      <c r="C11" s="44" t="inlineStr">
        <is>
          <t>Te veel onzekerheid door lage losmaakbaarheid, vervuiling, schade of gemengde betonstromen.</t>
        </is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22"/>
  <sheetViews>
    <sheetView workbookViewId="0">
      <selection activeCell="B1" sqref="B1:B1048576"/>
    </sheetView>
  </sheetViews>
  <sheetFormatPr baseColWidth="8" defaultColWidth="8.796875" defaultRowHeight="14.25"/>
  <cols>
    <col width="20" bestFit="1" customWidth="1" min="1" max="1"/>
    <col width="15" customWidth="1" min="2" max="2"/>
    <col width="35" customWidth="1" min="3" max="3"/>
    <col width="35" customWidth="1" min="4" max="4"/>
  </cols>
  <sheetData>
    <row r="1">
      <c r="A1" s="405" t="inlineStr">
        <is>
          <t>Herkomst</t>
        </is>
      </c>
      <c r="B1" s="405" t="inlineStr">
        <is>
          <t>Volume (m³)</t>
        </is>
      </c>
    </row>
    <row r="2">
      <c r="A2" s="406" t="inlineStr">
        <is>
          <t>Totaal</t>
        </is>
      </c>
      <c r="B2" s="406">
        <f>SUM(B3:B11)</f>
        <v/>
      </c>
    </row>
    <row r="3">
      <c r="A3" s="244" t="inlineStr">
        <is>
          <t>Plafonds</t>
        </is>
      </c>
      <c r="B3" s="244" t="n">
        <v>0</v>
      </c>
    </row>
    <row r="4">
      <c r="A4" s="244" t="inlineStr">
        <is>
          <t>Kolommen</t>
        </is>
      </c>
      <c r="B4" s="244" t="n">
        <v>0</v>
      </c>
    </row>
    <row r="5">
      <c r="A5" s="244" t="inlineStr">
        <is>
          <t>Gevelpanelen</t>
        </is>
      </c>
      <c r="B5" s="244" t="n">
        <v>0</v>
      </c>
    </row>
    <row r="6">
      <c r="A6" s="244" t="inlineStr">
        <is>
          <t>Deuren</t>
        </is>
      </c>
      <c r="B6" s="244" t="n">
        <v>0</v>
      </c>
    </row>
    <row r="7">
      <c r="A7" s="244" t="inlineStr">
        <is>
          <t>Vloeren</t>
        </is>
      </c>
      <c r="B7" s="244" t="n">
        <v>115.94</v>
      </c>
    </row>
    <row r="8">
      <c r="A8" s="244" t="inlineStr">
        <is>
          <t>Daken</t>
        </is>
      </c>
      <c r="B8" s="244" t="n">
        <v>6.58</v>
      </c>
    </row>
    <row r="9">
      <c r="A9" s="244" t="inlineStr">
        <is>
          <t>Wanden</t>
        </is>
      </c>
      <c r="B9" s="244" t="n">
        <v>354.28</v>
      </c>
    </row>
    <row r="10">
      <c r="A10" s="244" t="inlineStr">
        <is>
          <t>Ramen</t>
        </is>
      </c>
      <c r="B10" s="244" t="n">
        <v>0</v>
      </c>
    </row>
    <row r="11">
      <c r="A11" s="244" t="inlineStr">
        <is>
          <t>Trappen</t>
        </is>
      </c>
      <c r="B11" s="244" t="n">
        <v>0</v>
      </c>
    </row>
    <row r="15">
      <c r="A15" s="410" t="inlineStr">
        <is>
          <t>DETAIL REGELS (bron: schedules)</t>
        </is>
      </c>
    </row>
    <row r="16">
      <c r="A16" s="405" t="inlineStr">
        <is>
          <t>Herkomst</t>
        </is>
      </c>
      <c r="B16" s="405" t="inlineStr">
        <is>
          <t>Volume</t>
        </is>
      </c>
      <c r="C16" s="405" t="inlineStr">
        <is>
          <t>Materiaal</t>
        </is>
      </c>
      <c r="D16" s="405" t="inlineStr">
        <is>
          <t>Schedule</t>
        </is>
      </c>
    </row>
    <row r="17">
      <c r="A17" t="inlineStr">
        <is>
          <t>Vloeren</t>
        </is>
      </c>
      <c r="B17" t="n">
        <v>5.11</v>
      </c>
      <c r="C17" t="inlineStr">
        <is>
          <t>NLRS_f2_beton_prefab_gen</t>
        </is>
      </c>
      <c r="D17" t="inlineStr">
        <is>
          <t>MaterialTakeoff, floor</t>
        </is>
      </c>
    </row>
    <row r="18">
      <c r="A18" t="inlineStr">
        <is>
          <t>Vloeren</t>
        </is>
      </c>
      <c r="B18" t="n">
        <v>110.83</v>
      </c>
      <c r="C18" t="inlineStr">
        <is>
          <t>NLRS_q2_zandcement</t>
        </is>
      </c>
      <c r="D18" t="inlineStr">
        <is>
          <t>MaterialTakeoff, floor</t>
        </is>
      </c>
    </row>
    <row r="19">
      <c r="A19" t="inlineStr">
        <is>
          <t>Daken</t>
        </is>
      </c>
      <c r="B19" t="n">
        <v>6.58</v>
      </c>
      <c r="C19" t="inlineStr">
        <is>
          <t>Tegels beton_600x600</t>
        </is>
      </c>
      <c r="D19" t="inlineStr">
        <is>
          <t>MaterialTakeoff, roofs</t>
        </is>
      </c>
    </row>
    <row r="20">
      <c r="A20" t="inlineStr">
        <is>
          <t>Wanden</t>
        </is>
      </c>
      <c r="B20" t="n">
        <v>264.38</v>
      </c>
      <c r="C20" t="inlineStr">
        <is>
          <t>NLRS_f2_beton_prefab_gen</t>
        </is>
      </c>
      <c r="D20" t="inlineStr">
        <is>
          <t>MaterialTakeoff, walls</t>
        </is>
      </c>
    </row>
    <row r="21">
      <c r="A21" t="inlineStr">
        <is>
          <t>Wanden</t>
        </is>
      </c>
      <c r="B21" t="n">
        <v>60.07</v>
      </c>
      <c r="C21" t="inlineStr">
        <is>
          <t>NLRS_f4_cellenbeton_G4/600</t>
        </is>
      </c>
      <c r="D21" t="inlineStr">
        <is>
          <t>MaterialTakeoff, walls</t>
        </is>
      </c>
    </row>
    <row r="22">
      <c r="A22" t="inlineStr">
        <is>
          <t>Wanden</t>
        </is>
      </c>
      <c r="B22" t="n">
        <v>29.83</v>
      </c>
      <c r="C22" t="inlineStr">
        <is>
          <t>NLRS_f4_cellenbeton_generiek</t>
        </is>
      </c>
      <c r="D22" t="inlineStr">
        <is>
          <t>MaterialTakeoff, walls</t>
        </is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:r="http://schemas.openxmlformats.org/officeDocument/2006/relationships" xmlns="http://schemas.openxmlformats.org/spreadsheetml/2006/main">
  <sheetPr>
    <tabColor theme="6" tint="0.7999816888943144"/>
    <outlinePr summaryBelow="1" summaryRight="1"/>
    <pageSetUpPr/>
  </sheetPr>
  <dimension ref="A1:AA14"/>
  <sheetViews>
    <sheetView topLeftCell="N1" zoomScale="80" zoomScaleNormal="80" workbookViewId="0">
      <selection activeCell="X2" sqref="X2"/>
    </sheetView>
  </sheetViews>
  <sheetFormatPr baseColWidth="8" defaultColWidth="8.796875" defaultRowHeight="15" customHeight="1"/>
  <cols>
    <col width="16.796875" customWidth="1" min="1" max="1"/>
    <col width="26" customWidth="1" min="2" max="2"/>
    <col width="28" customWidth="1" min="3" max="3"/>
    <col width="37" customWidth="1" min="4" max="4"/>
    <col width="22.46484375" customWidth="1" min="5" max="5"/>
    <col width="20.796875" customWidth="1" min="6" max="6"/>
    <col width="20.46484375" customWidth="1" min="7" max="7"/>
    <col width="25.796875" customWidth="1" min="8" max="8"/>
    <col width="18" customWidth="1" min="9" max="9"/>
    <col width="19" bestFit="1" customWidth="1" min="10" max="10"/>
    <col width="18.1328125" customWidth="1" min="11" max="11"/>
    <col width="18" customWidth="1" min="12" max="12"/>
    <col width="23.796875" customWidth="1" min="13" max="13"/>
    <col width="19.796875" customWidth="1" min="14" max="14"/>
    <col width="18" customWidth="1" min="15" max="15"/>
    <col width="21.1328125" bestFit="1" customWidth="1" min="16" max="16"/>
    <col width="25.796875" customWidth="1" min="17" max="17"/>
    <col width="24.1328125" bestFit="1" customWidth="1" min="18" max="18"/>
    <col width="24.46484375" bestFit="1" customWidth="1" min="19" max="19"/>
    <col width="23.1328125" bestFit="1" customWidth="1" min="20" max="20"/>
    <col width="28.86328125" customWidth="1" min="21" max="21"/>
    <col width="18.796875" bestFit="1" customWidth="1" min="22" max="22"/>
    <col width="18.1328125" customWidth="1" min="23" max="23"/>
    <col width="24.1328125" bestFit="1" customWidth="1" min="24" max="24"/>
    <col width="29.53125" customWidth="1" min="25" max="25"/>
    <col width="34.1328125" customWidth="1" min="26" max="26"/>
    <col width="31.796875" bestFit="1" customWidth="1" min="27" max="27"/>
  </cols>
  <sheetData>
    <row r="1" ht="15" customHeight="1" thickBot="1">
      <c r="A1" s="375" t="inlineStr">
        <is>
          <t>materiaal gegevens</t>
        </is>
      </c>
      <c r="G1" s="380" t="inlineStr">
        <is>
          <t>Recovery rate</t>
        </is>
      </c>
      <c r="H1" s="412" t="n"/>
      <c r="I1" s="412" t="n"/>
      <c r="J1" s="412" t="n"/>
      <c r="K1" s="412" t="n"/>
      <c r="L1" s="412" t="n"/>
      <c r="M1" s="418" t="n"/>
      <c r="N1" s="419" t="inlineStr">
        <is>
          <t>Klimaatimpact</t>
        </is>
      </c>
      <c r="O1" s="412" t="n"/>
      <c r="P1" s="412" t="n"/>
      <c r="Q1" s="412" t="n"/>
      <c r="R1" s="412" t="n"/>
      <c r="S1" s="412" t="n"/>
      <c r="T1" s="412" t="n"/>
      <c r="U1" s="412" t="n"/>
      <c r="V1" s="412" t="n"/>
      <c r="W1" s="420" t="n"/>
      <c r="X1" s="421" t="inlineStr">
        <is>
          <t>Fincancieel</t>
        </is>
      </c>
      <c r="Y1" s="412" t="n"/>
      <c r="Z1" s="412" t="n"/>
      <c r="AA1" s="420" t="n"/>
    </row>
    <row r="2" ht="28.25" customHeight="1">
      <c r="A2" s="21" t="inlineStr">
        <is>
          <t>Materiaal-ID</t>
        </is>
      </c>
      <c r="B2" s="4" t="inlineStr">
        <is>
          <t>Element</t>
        </is>
      </c>
      <c r="C2" s="4" t="inlineStr">
        <is>
          <t>recycle benaming</t>
        </is>
      </c>
      <c r="D2" s="21" t="inlineStr">
        <is>
          <t>Materiaalcategorie</t>
        </is>
      </c>
      <c r="E2" s="21" t="inlineStr">
        <is>
          <t>Klasse</t>
        </is>
      </c>
      <c r="F2" s="193" t="inlineStr">
        <is>
          <t>Volume (m3)</t>
        </is>
      </c>
      <c r="G2" s="245" t="inlineStr">
        <is>
          <t xml:space="preserve">Demonteerbaarheid </t>
        </is>
      </c>
      <c r="H2" s="245" t="inlineStr">
        <is>
          <t xml:space="preserve">Materiaalconditie </t>
        </is>
      </c>
      <c r="I2" s="245" t="inlineStr">
        <is>
          <t xml:space="preserve">Marktpotentie </t>
        </is>
      </c>
      <c r="J2" s="4" t="inlineStr">
        <is>
          <t>Gem. score</t>
        </is>
      </c>
      <c r="K2" s="137" t="inlineStr">
        <is>
          <t>Geschatte recovery rate (%)</t>
        </is>
      </c>
      <c r="L2" s="137" t="inlineStr">
        <is>
          <t>Routeadvies</t>
        </is>
      </c>
      <c r="M2" s="99" t="inlineStr">
        <is>
          <t>Hoog-/laagwaardig</t>
        </is>
      </c>
      <c r="N2" s="123" t="inlineStr">
        <is>
          <t>CO2-nieuw (kg)</t>
        </is>
      </c>
      <c r="O2" s="124" t="inlineStr">
        <is>
          <t>CO2-Hergebruik (kg)</t>
        </is>
      </c>
      <c r="P2" s="124" t="inlineStr">
        <is>
          <t>CO2- recycle (kg)</t>
        </is>
      </c>
      <c r="Q2" s="194" t="inlineStr">
        <is>
          <t xml:space="preserve">Transport-impact </t>
        </is>
      </c>
      <c r="R2" s="194" t="inlineStr">
        <is>
          <t>Transport afstand (km)</t>
        </is>
      </c>
      <c r="S2" s="80" t="inlineStr">
        <is>
          <t>Totale CO2 nieuw</t>
        </is>
      </c>
      <c r="T2" s="80" t="inlineStr">
        <is>
          <t>Totale CO2 hergebruik</t>
        </is>
      </c>
      <c r="U2" s="163" t="inlineStr">
        <is>
          <t>Totale Co2 recycling</t>
        </is>
      </c>
      <c r="V2" s="80" t="inlineStr">
        <is>
          <t>Klimaatbesparing</t>
        </is>
      </c>
      <c r="W2" s="81" t="inlineStr">
        <is>
          <t>Laagste uitstoot</t>
        </is>
      </c>
      <c r="X2" s="45" t="inlineStr">
        <is>
          <t>Verkoopbaar volume (m3)</t>
        </is>
      </c>
      <c r="Y2" t="inlineStr">
        <is>
          <t>Verkoopprijs aan retailer per m³</t>
        </is>
      </c>
      <c r="Z2" s="2" t="inlineStr">
        <is>
          <t>Financiële marktwaarde excl. kosten</t>
        </is>
      </c>
      <c r="AA2" s="3" t="inlineStr">
        <is>
          <t>Advies</t>
        </is>
      </c>
    </row>
    <row r="3" ht="19.25" customHeight="1">
      <c r="A3" s="182" t="n"/>
      <c r="B3" s="127" t="inlineStr">
        <is>
          <t>Koper</t>
        </is>
      </c>
      <c r="C3" s="127" t="inlineStr">
        <is>
          <t>Geel koper / messing</t>
        </is>
      </c>
      <c r="D3" s="234" t="inlineStr">
        <is>
          <t>Totaal</t>
        </is>
      </c>
      <c r="E3" s="183" t="n"/>
      <c r="F3" s="200">
        <f>SUM(F4:F7)</f>
        <v/>
      </c>
      <c r="G3" s="147">
        <f>AVERAGE(G4:G7)</f>
        <v/>
      </c>
      <c r="H3" s="147">
        <f>AVERAGE(H4:H7)</f>
        <v/>
      </c>
      <c r="I3" s="147">
        <f>AVERAGE(I4:I7)</f>
        <v/>
      </c>
      <c r="J3" s="184">
        <f>AVERAGE(Tabel14[[#This Row],[Demonteerbaarheid ]:[Marktpotentie ]])</f>
        <v/>
      </c>
      <c r="K3" s="185">
        <f>IFERROR(ROUND(Tabel14[[#This Row],[Gem. score]]/5,2),0)</f>
        <v/>
      </c>
      <c r="L3" s="57">
        <f>IF(E3="A-koper","Hergebruik",IF(E3="C-koper","Recycling",IF(J3&gt;=4,"Hergebruik","Recycling")))</f>
        <v/>
      </c>
      <c r="M3" s="199">
        <f>IF(L3&gt;=75%,"Hoogwaardig","Laagwaardig")</f>
        <v/>
      </c>
      <c r="N3" s="357" t="n">
        <v>41216</v>
      </c>
      <c r="O3" s="358" t="n">
        <v>4480</v>
      </c>
      <c r="P3" s="358" t="n">
        <v>13440</v>
      </c>
      <c r="Q3" s="9" t="n">
        <v>4</v>
      </c>
      <c r="R3" s="171" t="n">
        <v>20</v>
      </c>
      <c r="S3" s="195">
        <f>Tabel14[[#This Row],[Volume (m3)]]*Tabel14[[#This Row],[CO2-nieuw (kg)]]+Tabel14[[#This Row],[Volume (m3)]]*Tabel14[[#This Row],[Transport-impact ]]*Tabel14[[#This Row],[Transport afstand (km)]]/1000</f>
        <v/>
      </c>
      <c r="T3" s="195">
        <f>Tabel14[[#This Row],[Volume (m3)]]*Tabel14[[#This Row],[CO2-Hergebruik (kg)]]+Tabel14[[#This Row],[Volume (m3)]]*Tabel14[[#This Row],[Transport afstand (km)]]*Tabel14[[#This Row],[Transport-impact ]]/1000</f>
        <v/>
      </c>
      <c r="U3" s="196">
        <f>Tabel14[[#This Row],[Volume (m3)]]*Tabel14[[#This Row],[CO2- recycle (kg)]]+Tabel14[[#This Row],[Transport-impact ]]*Tabel14[[#This Row],[Transport afstand (km)]]*Tabel14[[#This Row],[Volume (m3)]]/1000</f>
        <v/>
      </c>
      <c r="V3" s="57">
        <f>IF(W3="hergebruik",S3-T3,IF(W3="recycling",U3-T3,""))</f>
        <v/>
      </c>
      <c r="W3" s="198">
        <f>IF(T3=MIN(S3:U3),"Hergebruik",IF(U3=MIN(S3:U3),"Recycling","Nieuw"))</f>
        <v/>
      </c>
      <c r="X3" s="100">
        <f>IF(OR(F3="",K3=""),"",F3*K3)</f>
        <v/>
      </c>
      <c r="Y3" s="400">
        <f>IFERROR(VLOOKUP(C3,$B$11:$E$14,4,FALSE),0)</f>
        <v/>
      </c>
      <c r="Z3" s="407">
        <f>Tabel14[[#This Row],[Verkoopbaar volume (m3)]]*Tabel14[[#This Row],[Verkoopprijs aan retailer per m³]]</f>
        <v/>
      </c>
      <c r="AA3" s="18" t="n"/>
    </row>
    <row r="4" ht="19.25" customHeight="1">
      <c r="A4" s="8" t="n">
        <v>1</v>
      </c>
      <c r="B4" s="186" t="inlineStr">
        <is>
          <t>Koperen dakgoot</t>
        </is>
      </c>
      <c r="C4" s="13" t="inlineStr">
        <is>
          <t>Rood koper</t>
        </is>
      </c>
      <c r="D4" s="235" t="inlineStr">
        <is>
          <t>Dak-, gevel- en afwerkingskoper</t>
        </is>
      </c>
      <c r="E4" s="5" t="inlineStr">
        <is>
          <t>B-koper</t>
        </is>
      </c>
      <c r="F4" s="12" t="n">
        <v>4</v>
      </c>
      <c r="G4" s="148" t="n">
        <v>5</v>
      </c>
      <c r="H4" s="148" t="n">
        <v>4</v>
      </c>
      <c r="I4" s="148" t="n">
        <v>5</v>
      </c>
      <c r="J4" s="144">
        <f>AVERAGE(Tabel14[[#This Row],[Demonteerbaarheid ]:[Marktpotentie ]])</f>
        <v/>
      </c>
      <c r="K4" s="187">
        <f>IFERROR(ROUND(Tabel14[[#This Row],[Gem. score]]/5,2),0)</f>
        <v/>
      </c>
      <c r="L4" s="57">
        <f>IF(E4="A-koper","Hergebruik",IF(E4="C-koper","Recycling",IF(J4&gt;=4,"Hergebruik","Recycling")))</f>
        <v/>
      </c>
      <c r="M4" s="199">
        <f>IF(L4&gt;=75%,"Hoogwaardig","Laagwaardig")</f>
        <v/>
      </c>
      <c r="N4" s="357" t="n">
        <v>41216</v>
      </c>
      <c r="O4" s="358" t="n">
        <v>4480</v>
      </c>
      <c r="P4" s="358" t="n">
        <v>13440</v>
      </c>
      <c r="Q4" s="9" t="n">
        <v>4</v>
      </c>
      <c r="R4" s="171" t="n">
        <v>20</v>
      </c>
      <c r="S4" s="195">
        <f>Tabel14[[#This Row],[Volume (m3)]]*Tabel14[[#This Row],[CO2-nieuw (kg)]]+Tabel14[[#This Row],[Volume (m3)]]*Tabel14[[#This Row],[Transport-impact ]]*Tabel14[[#This Row],[Transport afstand (km)]]/1000</f>
        <v/>
      </c>
      <c r="T4" s="195">
        <f>Tabel14[[#This Row],[Volume (m3)]]*Tabel14[[#This Row],[CO2-Hergebruik (kg)]]+Tabel14[[#This Row],[Volume (m3)]]*Tabel14[[#This Row],[Transport afstand (km)]]*Tabel14[[#This Row],[Transport-impact ]]/1000</f>
        <v/>
      </c>
      <c r="U4" s="196">
        <f>Tabel14[[#This Row],[Volume (m3)]]*Tabel14[[#This Row],[CO2- recycle (kg)]]+Tabel14[[#This Row],[Transport-impact ]]*Tabel14[[#This Row],[Transport afstand (km)]]*Tabel14[[#This Row],[Volume (m3)]]/1000</f>
        <v/>
      </c>
      <c r="V4" s="57">
        <f>IF(W4="hergebruik",S4-T4,IF(W4="recycling",U4-T4,""))</f>
        <v/>
      </c>
      <c r="W4" s="198">
        <f>IF(T4=MIN(S4:U4),"Hergebruik",IF(U4=MIN(S4:U4),"Recycling","Nieuw"))</f>
        <v/>
      </c>
      <c r="X4" s="100">
        <f>IF(OR(F4="",K4=""),"",F4*K4)</f>
        <v/>
      </c>
      <c r="Y4" s="400">
        <f>IFERROR(VLOOKUP(C4,$B$11:$E$14,4,FALSE),0)</f>
        <v/>
      </c>
      <c r="Z4" s="407">
        <f>Tabel14[[#This Row],[Verkoopbaar volume (m3)]]*Tabel14[[#This Row],[Verkoopprijs aan retailer per m³]]</f>
        <v/>
      </c>
      <c r="AA4" s="19" t="n"/>
    </row>
    <row r="5" ht="14.75" customHeight="1">
      <c r="A5" s="188" t="n">
        <v>2</v>
      </c>
      <c r="B5" s="5" t="n"/>
      <c r="C5" s="13" t="inlineStr">
        <is>
          <t>Knip koper</t>
        </is>
      </c>
      <c r="D5" s="236" t="n"/>
      <c r="E5" s="5" t="inlineStr">
        <is>
          <t>B-koper</t>
        </is>
      </c>
      <c r="F5" s="189" t="n">
        <v>4</v>
      </c>
      <c r="G5" s="192" t="n">
        <v>5</v>
      </c>
      <c r="H5" s="192" t="n">
        <v>5</v>
      </c>
      <c r="I5" s="192" t="n">
        <v>5</v>
      </c>
      <c r="J5" s="144">
        <f>AVERAGE(Tabel14[[#This Row],[Demonteerbaarheid ]:[Marktpotentie ]])</f>
        <v/>
      </c>
      <c r="K5" s="187">
        <f>IFERROR(ROUND(Tabel14[[#This Row],[Gem. score]]/5,2),0)</f>
        <v/>
      </c>
      <c r="L5" s="57">
        <f>IF(E5="A-koper","Hergebruik",IF(E5="C-koper","Recycling",IF(J5&gt;=4,"Hergebruik","Recycling")))</f>
        <v/>
      </c>
      <c r="M5" s="199">
        <f>IF(L5&gt;=75%,"Hoogwaardig","Laagwaardig")</f>
        <v/>
      </c>
      <c r="N5" s="357" t="n">
        <v>41216</v>
      </c>
      <c r="O5" s="358" t="n">
        <v>4480</v>
      </c>
      <c r="P5" s="358" t="n">
        <v>13440</v>
      </c>
      <c r="Q5" s="9" t="n">
        <v>4</v>
      </c>
      <c r="R5" s="171" t="n">
        <v>20</v>
      </c>
      <c r="S5" s="195">
        <f>Tabel14[[#This Row],[Volume (m3)]]*Tabel14[[#This Row],[CO2-nieuw (kg)]]+Tabel14[[#This Row],[Volume (m3)]]*Tabel14[[#This Row],[Transport-impact ]]*Tabel14[[#This Row],[Transport afstand (km)]]/1000</f>
        <v/>
      </c>
      <c r="T5" s="195">
        <f>Tabel14[[#This Row],[Volume (m3)]]*Tabel14[[#This Row],[CO2-Hergebruik (kg)]]+Tabel14[[#This Row],[Volume (m3)]]*Tabel14[[#This Row],[Transport afstand (km)]]*Tabel14[[#This Row],[Transport-impact ]]/1000</f>
        <v/>
      </c>
      <c r="U5" s="196">
        <f>Tabel14[[#This Row],[Volume (m3)]]*Tabel14[[#This Row],[CO2- recycle (kg)]]+Tabel14[[#This Row],[Transport-impact ]]*Tabel14[[#This Row],[Transport afstand (km)]]*Tabel14[[#This Row],[Volume (m3)]]/1000</f>
        <v/>
      </c>
      <c r="V5" s="57">
        <f>IF(W5="hergebruik",S5-T5,IF(W5="recycling",U5-T5,""))</f>
        <v/>
      </c>
      <c r="W5" s="198">
        <f>IF(T5=MIN(S5:U5),"Hergebruik",IF(U5=MIN(S5:U5),"Recycling","Nieuw"))</f>
        <v/>
      </c>
      <c r="X5" s="100">
        <f>IF(OR(F5="",K5=""),"",F5*K5)</f>
        <v/>
      </c>
      <c r="Y5" s="400">
        <f>IFERROR(VLOOKUP(C5,$B$11:$E$14,4,FALSE),0)</f>
        <v/>
      </c>
      <c r="Z5" s="407">
        <f>Tabel14[[#This Row],[Verkoopbaar volume (m3)]]*Tabel14[[#This Row],[Verkoopprijs aan retailer per m³]]</f>
        <v/>
      </c>
      <c r="AA5" s="19" t="n"/>
    </row>
    <row r="6" ht="14.75" customHeight="1">
      <c r="A6" s="8" t="n">
        <v>3</v>
      </c>
      <c r="B6" s="8" t="inlineStr">
        <is>
          <t>Koperen waterleiding</t>
        </is>
      </c>
      <c r="C6" s="13" t="inlineStr">
        <is>
          <t>Geel koper / messing</t>
        </is>
      </c>
      <c r="D6" s="61" t="inlineStr">
        <is>
          <t>Leidingen water en gas en verwarming</t>
        </is>
      </c>
      <c r="E6" s="5" t="inlineStr">
        <is>
          <t>B-koper</t>
        </is>
      </c>
      <c r="F6" s="16" t="n">
        <v>4</v>
      </c>
      <c r="G6" s="192" t="n">
        <v>5</v>
      </c>
      <c r="H6" s="192" t="n">
        <v>3</v>
      </c>
      <c r="I6" s="192" t="n">
        <v>4</v>
      </c>
      <c r="J6" s="144">
        <f>AVERAGE(Tabel14[[#This Row],[Demonteerbaarheid ]:[Marktpotentie ]])</f>
        <v/>
      </c>
      <c r="K6" s="187">
        <f>IFERROR(ROUND(Tabel14[[#This Row],[Gem. score]]/5,2),0)</f>
        <v/>
      </c>
      <c r="L6" s="57">
        <f>IF(E6="A-koper","Hergebruik",IF(E6="C-koper","Recycling",IF(J6&gt;=4,"Hergebruik","Recycling")))</f>
        <v/>
      </c>
      <c r="M6" s="199">
        <f>IF(L6&gt;=75%,"Hoogwaardig","Laagwaardig")</f>
        <v/>
      </c>
      <c r="N6" s="357" t="n">
        <v>41216</v>
      </c>
      <c r="O6" s="358" t="n">
        <v>4480</v>
      </c>
      <c r="P6" s="358" t="n">
        <v>13440</v>
      </c>
      <c r="Q6" s="9" t="n">
        <v>4</v>
      </c>
      <c r="R6" s="171" t="n">
        <v>20</v>
      </c>
      <c r="S6" s="195">
        <f>Tabel14[[#This Row],[Volume (m3)]]*Tabel14[[#This Row],[CO2-nieuw (kg)]]+Tabel14[[#This Row],[Volume (m3)]]*Tabel14[[#This Row],[Transport-impact ]]*Tabel14[[#This Row],[Transport afstand (km)]]/1000</f>
        <v/>
      </c>
      <c r="T6" s="195">
        <f>Tabel14[[#This Row],[Volume (m3)]]*Tabel14[[#This Row],[CO2-Hergebruik (kg)]]+Tabel14[[#This Row],[Volume (m3)]]*Tabel14[[#This Row],[Transport afstand (km)]]*Tabel14[[#This Row],[Transport-impact ]]/1000</f>
        <v/>
      </c>
      <c r="U6" s="196">
        <f>Tabel14[[#This Row],[Volume (m3)]]*Tabel14[[#This Row],[CO2- recycle (kg)]]+Tabel14[[#This Row],[Transport-impact ]]*Tabel14[[#This Row],[Transport afstand (km)]]*Tabel14[[#This Row],[Volume (m3)]]/1000</f>
        <v/>
      </c>
      <c r="V6" s="57">
        <f>IF(W6="hergebruik",S6-T6,IF(W6="recycling",U6-T6,""))</f>
        <v/>
      </c>
      <c r="W6" s="198">
        <f>IF(T6=MIN(S6:U6),"Hergebruik",IF(U6=MIN(S6:U6),"Recycling","Nieuw"))</f>
        <v/>
      </c>
      <c r="X6" s="100">
        <f>IF(OR(F6="",K6=""),"",F6*K6)</f>
        <v/>
      </c>
      <c r="Y6" s="400">
        <f>IFERROR(VLOOKUP(C6,$B$11:$E$14,4,FALSE),0)</f>
        <v/>
      </c>
      <c r="Z6" s="407">
        <f>Tabel14[[#This Row],[Verkoopbaar volume (m3)]]*Tabel14[[#This Row],[Verkoopprijs aan retailer per m³]]</f>
        <v/>
      </c>
      <c r="AA6" s="19" t="n"/>
    </row>
    <row r="7" ht="14.75" customHeight="1">
      <c r="A7" s="188" t="n">
        <v>4</v>
      </c>
      <c r="B7" s="188" t="inlineStr">
        <is>
          <t>Elektrakabel koper</t>
        </is>
      </c>
      <c r="C7" s="13" t="inlineStr">
        <is>
          <t>Kabels inclusief isolatie</t>
        </is>
      </c>
      <c r="D7" s="237" t="inlineStr">
        <is>
          <t>Elektrische koperstromen</t>
        </is>
      </c>
      <c r="E7" s="5" t="n"/>
      <c r="F7" s="190" t="n">
        <v>4</v>
      </c>
      <c r="G7" s="192" t="n">
        <v>5</v>
      </c>
      <c r="H7" s="192" t="n">
        <v>4</v>
      </c>
      <c r="I7" s="192" t="n">
        <v>5</v>
      </c>
      <c r="J7" s="144">
        <f>AVERAGE(Tabel14[[#This Row],[Demonteerbaarheid ]:[Marktpotentie ]])</f>
        <v/>
      </c>
      <c r="K7" s="187">
        <f>IFERROR(ROUND(Tabel14[[#This Row],[Gem. score]]/5,2),0)</f>
        <v/>
      </c>
      <c r="L7" s="57">
        <f>IF(E7="A-koper","Hergebruik",IF(E7="C-koper","Recycling",IF(J7&gt;=4,"Hergebruik","Recycling")))</f>
        <v/>
      </c>
      <c r="M7" s="199">
        <f>IF(L7&gt;=75%,"Hoogwaardig","Laagwaardig")</f>
        <v/>
      </c>
      <c r="N7" s="357" t="n">
        <v>41216</v>
      </c>
      <c r="O7" s="358" t="n">
        <v>4480</v>
      </c>
      <c r="P7" s="358" t="n">
        <v>13440</v>
      </c>
      <c r="Q7" s="9" t="n">
        <v>3</v>
      </c>
      <c r="R7" s="171" t="n">
        <v>20</v>
      </c>
      <c r="S7" s="195">
        <f>Tabel14[[#This Row],[Volume (m3)]]*Tabel14[[#This Row],[CO2-nieuw (kg)]]+Tabel14[[#This Row],[Volume (m3)]]*Tabel14[[#This Row],[Transport-impact ]]*Tabel14[[#This Row],[Transport afstand (km)]]/1000</f>
        <v/>
      </c>
      <c r="T7" s="195">
        <f>Tabel14[[#This Row],[Volume (m3)]]*Tabel14[[#This Row],[CO2-Hergebruik (kg)]]+Tabel14[[#This Row],[Volume (m3)]]*Tabel14[[#This Row],[Transport afstand (km)]]*Tabel14[[#This Row],[Transport-impact ]]/1000</f>
        <v/>
      </c>
      <c r="U7" s="196">
        <f>Tabel14[[#This Row],[Volume (m3)]]*Tabel14[[#This Row],[CO2- recycle (kg)]]+Tabel14[[#This Row],[Transport-impact ]]*Tabel14[[#This Row],[Transport afstand (km)]]*Tabel14[[#This Row],[Volume (m3)]]/1000</f>
        <v/>
      </c>
      <c r="V7" s="57">
        <f>IF(W7="hergebruik",S7-T7,IF(W7="recycling",U7-T7,""))</f>
        <v/>
      </c>
      <c r="W7" s="198">
        <f>IF(T7=MIN(S7:U7),"Hergebruik",IF(U7=MIN(S7:U7),"Recycling","Nieuw"))</f>
        <v/>
      </c>
      <c r="X7" s="100">
        <f>IF(OR(F7="",K7=""),"",F7*K7)</f>
        <v/>
      </c>
      <c r="Y7" s="400">
        <f>IFERROR(VLOOKUP(C7,$B$11:$E$14,4,FALSE),0)</f>
        <v/>
      </c>
      <c r="Z7" s="407">
        <f>Tabel14[[#This Row],[Verkoopbaar volume (m3)]]*Tabel14[[#This Row],[Verkoopprijs aan retailer per m³]]</f>
        <v/>
      </c>
      <c r="AA7" s="19" t="n"/>
    </row>
    <row r="8" ht="15" customHeight="1">
      <c r="Q8" t="n">
        <v>4</v>
      </c>
      <c r="T8" s="197" t="n"/>
      <c r="U8" s="197" t="n"/>
      <c r="V8" s="197" t="n"/>
      <c r="W8" s="197" t="n"/>
    </row>
    <row r="9" ht="14.25" customHeight="1"/>
    <row r="10" ht="27" customHeight="1">
      <c r="B10" s="62" t="inlineStr">
        <is>
          <t>Koperklasse</t>
        </is>
      </c>
      <c r="C10" s="266" t="inlineStr">
        <is>
          <t>Retail recyclingprijs per m³</t>
        </is>
      </c>
      <c r="D10" s="266" t="inlineStr">
        <is>
          <t>Metaalhandel-inkoopfactor</t>
        </is>
      </c>
      <c r="E10" s="266" t="inlineStr">
        <is>
          <t>Verkoopprijs aan retailer/metaalhandelaar per m³</t>
        </is>
      </c>
    </row>
    <row r="11" ht="15" customHeight="1">
      <c r="B11" s="61" t="inlineStr">
        <is>
          <t>Rood koper</t>
        </is>
      </c>
      <c r="C11" s="59" t="n">
        <v>2500</v>
      </c>
      <c r="D11" s="60" t="n">
        <v>0.9</v>
      </c>
      <c r="E11" s="59">
        <f>Tabel22[[#This Row],[Metaalhandel-inkoopfactor]]*Tabel22[[#This Row],[Retail recyclingprijs per m³]]</f>
        <v/>
      </c>
    </row>
    <row r="12" ht="15" customHeight="1">
      <c r="B12" s="61" t="inlineStr">
        <is>
          <t>Knip koper</t>
        </is>
      </c>
      <c r="C12" s="59" t="n">
        <v>2300</v>
      </c>
      <c r="D12" s="60" t="n">
        <v>0.88</v>
      </c>
      <c r="E12" s="59">
        <f>Tabel22[[#This Row],[Metaalhandel-inkoopfactor]]*Tabel22[[#This Row],[Retail recyclingprijs per m³]]</f>
        <v/>
      </c>
    </row>
    <row r="13" ht="33" customHeight="1">
      <c r="B13" s="61" t="inlineStr">
        <is>
          <t>Geel koper / messing</t>
        </is>
      </c>
      <c r="C13" s="59" t="n">
        <v>1500</v>
      </c>
      <c r="D13" s="60" t="n">
        <v>0.85</v>
      </c>
      <c r="E13" s="59">
        <f>Tabel22[[#This Row],[Metaalhandel-inkoopfactor]]*Tabel22[[#This Row],[Retail recyclingprijs per m³]]</f>
        <v/>
      </c>
    </row>
    <row r="14" ht="26.75" customHeight="1">
      <c r="B14" s="63" t="inlineStr">
        <is>
          <t>Kabels inclusief isolatie</t>
        </is>
      </c>
      <c r="C14" s="64" t="n">
        <v>1000</v>
      </c>
      <c r="D14" s="65" t="n">
        <v>0.7</v>
      </c>
      <c r="E14" s="59">
        <f>Tabel22[[#This Row],[Metaalhandel-inkoopfactor]]*Tabel22[[#This Row],[Retail recyclingprijs per m³]]</f>
        <v/>
      </c>
    </row>
  </sheetData>
  <mergeCells count="4">
    <mergeCell ref="A1:F1"/>
    <mergeCell ref="G1:M1"/>
    <mergeCell ref="N1:W1"/>
    <mergeCell ref="X1:AA1"/>
  </mergeCells>
  <conditionalFormatting sqref="K3:K7">
    <cfRule type="colorScale" priority="248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3:M7 R3:R7">
    <cfRule type="colorScale" priority="249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disablePrompts="1" count="2">
    <dataValidation sqref="D7 D3:D5 E3:E7" showErrorMessage="1" showInputMessage="1" allowBlank="0" type="list">
      <formula1>"Staal,Hout,Beton,Aluminium,Koper,Keramiek,Bitumen,Overig"</formula1>
    </dataValidation>
    <dataValidation sqref="G3:I7 Q3:Q7" showErrorMessage="1" showInputMessage="1" allowBlank="0" type="list">
      <formula1>"1,2,3,4,5"</formula1>
    </dataValidation>
  </dataValidations>
  <pageMargins left="0.7" right="0.7" top="0.75" bottom="0.75" header="0.3" footer="0.3"/>
  <legacyDrawing r:id="anysvml"/>
  <tableParts count="2">
    <tablePart r:id="rId1"/>
    <tablePart r:id="rId2"/>
  </tableParts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K14"/>
  <sheetViews>
    <sheetView zoomScale="80" zoomScaleNormal="80" workbookViewId="0">
      <selection activeCell="B5" sqref="B5"/>
    </sheetView>
  </sheetViews>
  <sheetFormatPr baseColWidth="8" defaultColWidth="8.796875" defaultRowHeight="14.25"/>
  <cols>
    <col width="18.796875" customWidth="1" min="1" max="1"/>
    <col width="29.46484375" customWidth="1" min="2" max="2"/>
    <col width="45.796875" customWidth="1" min="3" max="3"/>
    <col width="28.796875" customWidth="1" min="4" max="4"/>
    <col width="37.796875" customWidth="1" min="5" max="5"/>
    <col width="6.796875" customWidth="1" min="6" max="6"/>
    <col width="32.1328125" customWidth="1" min="7" max="7"/>
    <col width="32" customWidth="1" min="8" max="8"/>
    <col width="53.1328125" customWidth="1" min="9" max="9"/>
    <col width="31.796875" customWidth="1" min="10" max="10"/>
    <col width="24.796875" customWidth="1" min="11" max="11"/>
  </cols>
  <sheetData>
    <row r="1">
      <c r="G1" s="229" t="inlineStr">
        <is>
          <t>Categorie</t>
        </is>
      </c>
      <c r="H1" s="229" t="inlineStr">
        <is>
          <t>Definitie</t>
        </is>
      </c>
      <c r="I1" s="229" t="inlineStr">
        <is>
          <t xml:space="preserve">Voorbeelden in gebouwen </t>
        </is>
      </c>
      <c r="J1" s="229" t="inlineStr">
        <is>
          <t>Bouwdelen</t>
        </is>
      </c>
      <c r="K1" s="229" t="inlineStr">
        <is>
          <t>Typische gebouwtypen</t>
        </is>
      </c>
    </row>
    <row r="2" ht="42.75" customHeight="1">
      <c r="A2" s="45" t="inlineStr">
        <is>
          <t>Koperklasse</t>
        </is>
      </c>
      <c r="B2" s="47" t="inlineStr">
        <is>
          <t>Verkoopprijs per m³</t>
        </is>
      </c>
      <c r="C2" s="47" t="inlineStr">
        <is>
          <t>Wat betekent dit ongeveer in kg koperwaarde?</t>
        </is>
      </c>
      <c r="G2" s="231" t="inlineStr">
        <is>
          <t>Elektrische koperstromen</t>
        </is>
      </c>
      <c r="H2" s="98" t="inlineStr">
        <is>
          <t>Koper in kabels en elektrische installaties.</t>
        </is>
      </c>
      <c r="I2" s="98" t="inlineStr">
        <is>
          <t>elektrakabel, voedingskabel, installatiedraad, aardedraad, datakabel met koper, schakelkastbekabeling</t>
        </is>
      </c>
      <c r="J2" s="98" t="inlineStr">
        <is>
          <t>Installaties, elektra, meterkasten, kabelgoten</t>
        </is>
      </c>
      <c r="K2" s="98" t="inlineStr">
        <is>
          <t>alle gebouwen; veel in utiliteit en industrie door installatiedichtheid</t>
        </is>
      </c>
    </row>
    <row r="3" ht="28.5" customHeight="1">
      <c r="A3" s="44" t="inlineStr">
        <is>
          <t>Rood koper</t>
        </is>
      </c>
      <c r="B3" s="46" t="inlineStr">
        <is>
          <t>€2.250/m³</t>
        </is>
      </c>
      <c r="C3" s="46" t="inlineStr">
        <is>
          <t>ongeveer 260 kg/m³ bij €8,65/kg</t>
        </is>
      </c>
      <c r="G3" s="231" t="inlineStr">
        <is>
          <t>Leidingen voor water, gas en verwarming</t>
        </is>
      </c>
      <c r="H3" s="98" t="inlineStr">
        <is>
          <t>Koperen leidingen in sanitaire en werktuigbouwkundige installaties.</t>
        </is>
      </c>
      <c r="I3" s="98" t="inlineStr">
        <is>
          <t>koperen waterleiding, CV-leiding, gasleiding koper, warmwaterleiding, appendageleiding</t>
        </is>
      </c>
      <c r="J3" s="98" t="inlineStr">
        <is>
          <t>Sanitair, werktuigbouwkundige installaties, schachten</t>
        </is>
      </c>
      <c r="K3" s="98" t="inlineStr">
        <is>
          <t>woningbouw, appartementen, zorg, utiliteit</t>
        </is>
      </c>
    </row>
    <row r="4" ht="28.5" customHeight="1">
      <c r="A4" s="44" t="inlineStr">
        <is>
          <t>Knip koper</t>
        </is>
      </c>
      <c r="B4" s="46" t="inlineStr">
        <is>
          <t>€2.024/m³</t>
        </is>
      </c>
      <c r="C4" s="46" t="inlineStr">
        <is>
          <t>ongeveer 225 kg/m³ bij ±€9/kg</t>
        </is>
      </c>
      <c r="D4" s="76" t="n"/>
      <c r="G4" s="231" t="inlineStr">
        <is>
          <t>Installatiecomponenten en apparaten</t>
        </is>
      </c>
      <c r="H4" s="98" t="inlineStr">
        <is>
          <t>Koper in technische componenten of installaties.</t>
        </is>
      </c>
      <c r="I4" s="98" t="inlineStr">
        <is>
          <t>warmtewisselaar, verdeler, pompcomponent, elektromotor, transformator, verdeelkast, koelinstallatie</t>
        </is>
      </c>
      <c r="J4" s="98" t="inlineStr">
        <is>
          <t>Technische ruimte, klimaatinstallaties, elektra</t>
        </is>
      </c>
      <c r="K4" s="98" t="inlineStr">
        <is>
          <t>utiliteitsbouw, industrie, kantoren, ziekenhuizen</t>
        </is>
      </c>
    </row>
    <row r="5" ht="42.75" customHeight="1">
      <c r="A5" s="44" t="inlineStr">
        <is>
          <t>Geel koper</t>
        </is>
      </c>
      <c r="B5" s="46" t="inlineStr">
        <is>
          <t>€1.275/m³</t>
        </is>
      </c>
      <c r="C5" s="46" t="inlineStr">
        <is>
          <t>ongeveer 245 kg/m³ bij €5,20/kg</t>
        </is>
      </c>
      <c r="G5" s="231" t="inlineStr">
        <is>
          <t>Dak-, gevel- en afwerkingskoper</t>
        </is>
      </c>
      <c r="H5" s="98" t="inlineStr">
        <is>
          <t>Koper toegepast aan gebouwschil of als afwerking.</t>
        </is>
      </c>
      <c r="I5" s="98" t="inlineStr">
        <is>
          <t>koperen dakgoot, hemelwaterafvoer, dakbedekking koper, gevelbekleding, afdekkap, koperen zetwerk</t>
        </is>
      </c>
      <c r="J5" s="98" t="inlineStr">
        <is>
          <t>Dak, gevel, goot, afwerking</t>
        </is>
      </c>
      <c r="K5" s="98" t="inlineStr">
        <is>
          <t>monumentale gebouwen, utiliteitsbouw, bijzondere woningbouw</t>
        </is>
      </c>
    </row>
    <row r="6">
      <c r="A6" s="44" t="inlineStr">
        <is>
          <t>Kabels</t>
        </is>
      </c>
      <c r="B6" s="46" t="inlineStr">
        <is>
          <t>€700/m³</t>
        </is>
      </c>
      <c r="C6" s="46" t="inlineStr">
        <is>
          <t>ongeveer 226 kg/m³ bij €3,10/kg</t>
        </is>
      </c>
    </row>
    <row r="8">
      <c r="A8" s="47" t="inlineStr">
        <is>
          <t>Koper PRR</t>
        </is>
      </c>
      <c r="B8" s="45" t="inlineStr">
        <is>
          <t>Routeadvies</t>
        </is>
      </c>
      <c r="C8" s="45" t="inlineStr">
        <is>
          <t>Onderbouwing</t>
        </is>
      </c>
    </row>
    <row r="9" ht="28.5" customHeight="1">
      <c r="A9" s="46" t="inlineStr">
        <is>
          <t>≥ 70%</t>
        </is>
      </c>
      <c r="B9" s="44" t="inlineStr">
        <is>
          <t>Hergebruik &gt; recycling</t>
        </is>
      </c>
      <c r="C9" s="44" t="inlineStr">
        <is>
          <t>Hergebruik kan, maar hoogwaardige recycling is vaak praktischer.</t>
        </is>
      </c>
    </row>
    <row r="10" ht="28.5" customHeight="1">
      <c r="A10" s="46" t="inlineStr">
        <is>
          <t>25% – 69%</t>
        </is>
      </c>
      <c r="B10" s="44" t="inlineStr">
        <is>
          <t>Recycling</t>
        </is>
      </c>
      <c r="C10" s="44" t="inlineStr">
        <is>
          <t>Koper blijft waardevol als recyclebare stroom, ook bij lagere PRR.</t>
        </is>
      </c>
      <c r="F10" s="56" t="n"/>
    </row>
    <row r="11" ht="28.5" customHeight="1">
      <c r="A11" s="46" t="inlineStr">
        <is>
          <t>&lt; 25%</t>
        </is>
      </c>
      <c r="B11" s="44" t="inlineStr">
        <is>
          <t>Handmatig beoordelen</t>
        </is>
      </c>
      <c r="C11" s="44" t="inlineStr">
        <is>
          <t>Alleen bij onbekende of sterk samengestelde koperstromen.</t>
        </is>
      </c>
      <c r="F11" s="51" t="n"/>
    </row>
    <row r="12">
      <c r="F12" s="51" t="n"/>
    </row>
    <row r="13">
      <c r="F13" s="51" t="n"/>
    </row>
    <row r="14">
      <c r="F14" s="51" t="n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16"/>
  <sheetViews>
    <sheetView workbookViewId="0">
      <selection activeCell="B4" sqref="B4"/>
    </sheetView>
  </sheetViews>
  <sheetFormatPr baseColWidth="8" defaultColWidth="8.796875" defaultRowHeight="14.25"/>
  <cols>
    <col width="20" bestFit="1" customWidth="1" min="1" max="1"/>
    <col width="15" customWidth="1" min="2" max="2"/>
    <col width="35" customWidth="1" min="3" max="3"/>
    <col width="35" customWidth="1" min="4" max="4"/>
  </cols>
  <sheetData>
    <row r="1">
      <c r="A1" s="405" t="inlineStr">
        <is>
          <t>Herkomst</t>
        </is>
      </c>
      <c r="B1" s="405" t="inlineStr">
        <is>
          <t>Volume (m³)</t>
        </is>
      </c>
    </row>
    <row r="2">
      <c r="A2" s="406" t="inlineStr">
        <is>
          <t>Totaal</t>
        </is>
      </c>
      <c r="B2" s="406">
        <f>SUM(B3:B11)</f>
        <v/>
      </c>
    </row>
    <row r="3">
      <c r="A3" s="244" t="inlineStr">
        <is>
          <t>Plafonds</t>
        </is>
      </c>
      <c r="B3" s="244" t="n">
        <v>0</v>
      </c>
    </row>
    <row r="4">
      <c r="A4" s="244" t="inlineStr">
        <is>
          <t>Kolommen</t>
        </is>
      </c>
      <c r="B4" s="244" t="n">
        <v>0</v>
      </c>
    </row>
    <row r="5">
      <c r="A5" s="244" t="inlineStr">
        <is>
          <t>Gevelpanelen</t>
        </is>
      </c>
      <c r="B5" s="244" t="n">
        <v>0</v>
      </c>
    </row>
    <row r="6">
      <c r="A6" s="244" t="inlineStr">
        <is>
          <t>Deuren</t>
        </is>
      </c>
      <c r="B6" s="244" t="n">
        <v>0</v>
      </c>
    </row>
    <row r="7">
      <c r="A7" s="244" t="inlineStr">
        <is>
          <t>Vloeren</t>
        </is>
      </c>
      <c r="B7" s="244" t="n">
        <v>0</v>
      </c>
    </row>
    <row r="8">
      <c r="A8" s="244" t="inlineStr">
        <is>
          <t>Daken</t>
        </is>
      </c>
      <c r="B8" s="244" t="n">
        <v>0</v>
      </c>
    </row>
    <row r="9">
      <c r="A9" s="244" t="inlineStr">
        <is>
          <t>Wanden</t>
        </is>
      </c>
      <c r="B9" s="244" t="n">
        <v>0</v>
      </c>
    </row>
    <row r="10">
      <c r="A10" s="244" t="inlineStr">
        <is>
          <t>Ramen</t>
        </is>
      </c>
      <c r="B10" s="244" t="n">
        <v>0</v>
      </c>
    </row>
    <row r="11">
      <c r="A11" s="244" t="inlineStr">
        <is>
          <t>Trappen</t>
        </is>
      </c>
      <c r="B11" s="244" t="n">
        <v>0</v>
      </c>
    </row>
    <row r="15">
      <c r="A15" s="410" t="inlineStr">
        <is>
          <t>DETAIL REGELS (bron: schedules)</t>
        </is>
      </c>
    </row>
    <row r="16">
      <c r="A16" s="405" t="inlineStr">
        <is>
          <t>Herkomst</t>
        </is>
      </c>
      <c r="B16" s="405" t="inlineStr">
        <is>
          <t>Volume</t>
        </is>
      </c>
      <c r="C16" s="405" t="inlineStr">
        <is>
          <t>Materiaal</t>
        </is>
      </c>
      <c r="D16" s="405" t="inlineStr">
        <is>
          <t>Schedule</t>
        </is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:r="http://schemas.openxmlformats.org/officeDocument/2006/relationships" xmlns="http://schemas.openxmlformats.org/spreadsheetml/2006/main">
  <sheetPr>
    <tabColor theme="6" tint="0.7999816888943144"/>
    <outlinePr summaryBelow="1" summaryRight="1"/>
    <pageSetUpPr/>
  </sheetPr>
  <dimension ref="A1:Y16"/>
  <sheetViews>
    <sheetView topLeftCell="I1" zoomScale="80" zoomScaleNormal="80" workbookViewId="0">
      <selection activeCell="W2" sqref="W2"/>
    </sheetView>
  </sheetViews>
  <sheetFormatPr baseColWidth="8" defaultColWidth="8.796875" defaultRowHeight="14.25"/>
  <cols>
    <col width="13.1328125" customWidth="1" style="2" min="1" max="1"/>
    <col width="31.53125" customWidth="1" style="2" min="2" max="2"/>
    <col width="39.86328125" customWidth="1" style="2" min="3" max="3"/>
    <col width="28.796875" bestFit="1" customWidth="1" style="2" min="4" max="4"/>
    <col width="26.1328125" customWidth="1" style="2" min="5" max="5"/>
    <col width="27.1328125" customWidth="1" style="2" min="6" max="6"/>
    <col width="24.796875" customWidth="1" style="2" min="7" max="7"/>
    <col width="18.1328125" customWidth="1" style="2" min="8" max="8"/>
    <col width="18" customWidth="1" style="2" min="9" max="13"/>
    <col width="16" customWidth="1" style="2" min="14" max="14"/>
    <col width="10" customWidth="1" style="2" min="15" max="15"/>
    <col width="18" customWidth="1" style="2" min="16" max="16"/>
    <col width="22" customWidth="1" style="2" min="17" max="17"/>
    <col width="20.1328125" bestFit="1" customWidth="1" style="2" min="18" max="18"/>
    <col width="18" customWidth="1" style="2" min="19" max="20"/>
    <col width="19.46484375" customWidth="1" style="2" min="21" max="21"/>
    <col width="16" customWidth="1" style="2" min="22" max="22"/>
    <col width="14" customWidth="1" style="2" min="23" max="23"/>
    <col width="16.1328125" bestFit="1" customWidth="1" style="2" min="24" max="24"/>
    <col width="34.46484375" bestFit="1" customWidth="1" style="2" min="25" max="25"/>
    <col width="8.796875" customWidth="1" style="2" min="26" max="16384"/>
  </cols>
  <sheetData>
    <row r="1" ht="17.25" customHeight="1" thickBot="1">
      <c r="A1" s="376" t="inlineStr">
        <is>
          <t>materiaal gegevens</t>
        </is>
      </c>
      <c r="B1" s="126" t="n"/>
      <c r="C1" s="126" t="n"/>
      <c r="D1" s="126" t="n"/>
      <c r="E1" s="126" t="n"/>
      <c r="F1" s="387" t="inlineStr">
        <is>
          <t>Recovery rate</t>
        </is>
      </c>
      <c r="G1" s="126" t="n"/>
      <c r="H1" s="126" t="n"/>
      <c r="I1" s="126" t="n"/>
      <c r="J1" s="126" t="n"/>
      <c r="K1" s="251" t="n"/>
      <c r="L1" s="251" t="n"/>
      <c r="M1" s="376" t="inlineStr">
        <is>
          <t>Klimaatimpact</t>
        </is>
      </c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388" t="inlineStr">
        <is>
          <t>Fincancieel</t>
        </is>
      </c>
      <c r="X1" s="412" t="n"/>
      <c r="Y1" s="412" t="n"/>
    </row>
    <row r="2" ht="28.25" customHeight="1">
      <c r="A2" s="78" t="inlineStr">
        <is>
          <t>Materiaal-ID</t>
        </is>
      </c>
      <c r="B2" s="85" t="inlineStr">
        <is>
          <t>Element</t>
        </is>
      </c>
      <c r="C2" s="79" t="inlineStr">
        <is>
          <t>Materiaalcategorie</t>
        </is>
      </c>
      <c r="D2" s="215" t="inlineStr">
        <is>
          <t>Volume (m3)</t>
        </is>
      </c>
      <c r="E2" s="215" t="inlineStr">
        <is>
          <t xml:space="preserve">Demonteerbaarheid </t>
        </is>
      </c>
      <c r="F2" s="215" t="inlineStr">
        <is>
          <t xml:space="preserve">Materiaalconditie </t>
        </is>
      </c>
      <c r="G2" s="215" t="inlineStr">
        <is>
          <t xml:space="preserve">Marktpotentie </t>
        </is>
      </c>
      <c r="H2" s="79" t="inlineStr">
        <is>
          <t>Gem. score</t>
        </is>
      </c>
      <c r="I2" s="86" t="inlineStr">
        <is>
          <t>Geschatte recovery rate (%)</t>
        </is>
      </c>
      <c r="J2" s="79" t="inlineStr">
        <is>
          <t>Klasse</t>
        </is>
      </c>
      <c r="K2" s="78" t="inlineStr">
        <is>
          <t>Routeadvies</t>
        </is>
      </c>
      <c r="L2" s="79" t="inlineStr">
        <is>
          <t>Hoog-/laagwaardig</t>
        </is>
      </c>
      <c r="M2" s="123" t="inlineStr">
        <is>
          <t>CO2-nieuw (kg)</t>
        </is>
      </c>
      <c r="N2" s="124" t="inlineStr">
        <is>
          <t>CO2-Hergebruik (kg)</t>
        </is>
      </c>
      <c r="O2" s="124" t="inlineStr">
        <is>
          <t>CO2- recycle (kg)</t>
        </is>
      </c>
      <c r="P2" s="215" t="inlineStr">
        <is>
          <t xml:space="preserve">Transport-impact </t>
        </is>
      </c>
      <c r="Q2" s="215" t="inlineStr">
        <is>
          <t>Transport afstand (km)</t>
        </is>
      </c>
      <c r="R2" s="79" t="inlineStr">
        <is>
          <t>Totale CO2 nieuw</t>
        </is>
      </c>
      <c r="S2" s="79" t="inlineStr">
        <is>
          <t>Totale CO2 hergebruik</t>
        </is>
      </c>
      <c r="T2" s="79" t="inlineStr">
        <is>
          <t>Totale Co2 recycling</t>
        </is>
      </c>
      <c r="U2" s="80" t="inlineStr">
        <is>
          <t>Klimaatbesparing</t>
        </is>
      </c>
      <c r="V2" s="81" t="inlineStr">
        <is>
          <t>Laagste uitstoot</t>
        </is>
      </c>
      <c r="W2" s="45" t="inlineStr">
        <is>
          <t>Verkoopbaar volume (m3)</t>
        </is>
      </c>
      <c r="X2" s="2" t="inlineStr">
        <is>
          <t>Verkoopprijs aan retailer per m³</t>
        </is>
      </c>
      <c r="Y2" s="2" t="inlineStr">
        <is>
          <t>Financiële marktwaarde excl. kosten</t>
        </is>
      </c>
    </row>
    <row r="3" ht="14.75" customHeight="1">
      <c r="A3" s="7" t="inlineStr">
        <is>
          <t>Totaal</t>
        </is>
      </c>
      <c r="B3" s="127" t="n"/>
      <c r="C3" s="7" t="n"/>
      <c r="D3" s="66">
        <f>SUM(D4:D7)</f>
        <v/>
      </c>
      <c r="E3" s="255" t="n"/>
      <c r="F3" s="255" t="n"/>
      <c r="G3" s="255" t="n"/>
      <c r="H3" s="351">
        <f>IF(COUNTA(E3:G3)=0,"",AVERAGE(E3:G3))</f>
        <v/>
      </c>
      <c r="I3" s="87">
        <f>IFERROR(ROUND(Tabel16[[#This Row],[Gem. score]]/5,2),0)</f>
        <v/>
      </c>
      <c r="J3" s="273" t="n"/>
      <c r="K3" s="222" t="n"/>
      <c r="L3" s="57" t="n"/>
      <c r="M3" s="352" t="n"/>
      <c r="N3" s="352" t="n"/>
      <c r="O3" s="352" t="n"/>
      <c r="P3" s="353" t="n"/>
      <c r="Q3" s="354" t="n"/>
      <c r="R3" s="74" t="n"/>
      <c r="S3" s="422" t="n"/>
      <c r="T3" s="422" t="n"/>
      <c r="U3" s="57" t="n"/>
      <c r="V3" s="82" t="n"/>
      <c r="W3" s="223" t="n"/>
      <c r="X3" s="224" t="n"/>
      <c r="Y3" s="407">
        <f>Tabel16[[#This Row],[Verkoopbaar volume (m3)]]*Tabel16[[#This Row],[Verkoopprijs aan retailer per m³]]</f>
        <v/>
      </c>
    </row>
    <row r="4">
      <c r="A4" s="15" t="n">
        <v>1</v>
      </c>
      <c r="B4" s="15" t="inlineStr">
        <is>
          <t>raam-/deursystemen</t>
        </is>
      </c>
      <c r="C4" s="15" t="inlineStr">
        <is>
          <t>Kozijnen, puien en vliesgevels</t>
        </is>
      </c>
      <c r="D4" s="16" t="n">
        <v>4</v>
      </c>
      <c r="E4" s="148" t="n">
        <v>5</v>
      </c>
      <c r="F4" s="148" t="n">
        <v>4</v>
      </c>
      <c r="G4" s="148" t="n">
        <v>4</v>
      </c>
      <c r="H4" s="143">
        <f>IF(COUNTA(E4:G4)=0,"",AVERAGE(E4:G4))</f>
        <v/>
      </c>
      <c r="I4" s="220">
        <f>IFERROR(ROUND(Tabel16[[#This Row],[Gem. score]]/5,2),0)</f>
        <v/>
      </c>
      <c r="J4" s="350" t="inlineStr">
        <is>
          <t>Bijzonder aluminium</t>
        </is>
      </c>
      <c r="K4" s="222">
        <f>IF(J4="A-aluminium","Hergebruik",IF(J4="C-aluminium","Recycling",IF(H4&gt;=4,"Hergebruik","Recycling")))</f>
        <v/>
      </c>
      <c r="L4" s="5">
        <f>IF(I4&gt;=75%,"Hoogwaardig","Laagwaardig")</f>
        <v/>
      </c>
      <c r="M4" s="15" t="n">
        <v>48000</v>
      </c>
      <c r="N4" s="15" t="n">
        <v>2430</v>
      </c>
      <c r="O4" s="15" t="n">
        <v>5400</v>
      </c>
      <c r="P4" s="206" t="n">
        <v>2</v>
      </c>
      <c r="Q4" s="210" t="n">
        <v>20</v>
      </c>
      <c r="R4" s="207">
        <f>Tabel16[[#This Row],[Volume (m3)]]*Tabel16[[#This Row],[CO2-nieuw (kg)]]+Tabel16[[#This Row],[Volume (m3)]]*Tabel16[[#This Row],[Transport-impact ]]*Tabel16[[#This Row],[Transport afstand (km)]]</f>
        <v/>
      </c>
      <c r="S4" s="423">
        <f>Tabel16[[#This Row],[Volume (m3)]]*Tabel16[[#This Row],[CO2-Hergebruik (kg)]]+Tabel16[[#This Row],[Volume (m3)]]*Tabel16[[#This Row],[Transport afstand (km)]]*Tabel16[[#This Row],[Transport-impact ]]</f>
        <v/>
      </c>
      <c r="T4" s="423">
        <f>Tabel16[[#This Row],[Volume (m3)]]*Tabel16[[#This Row],[CO2- recycle (kg)]]+Tabel16[[#This Row],[Volume (m3)]]*Tabel16[[#This Row],[Transport afstand (km)]]*Tabel16[[#This Row],[Transport-impact ]]</f>
        <v/>
      </c>
      <c r="U4" s="57">
        <f>IF(V4="hergebruik",R4-S4,IF(V4="recycling",T4-S4,""))</f>
        <v/>
      </c>
      <c r="V4" s="82">
        <f>IF(S4=MIN(R4:T4),"Hergebruik",IF(T4=MIN(R4:T4),"Recycling","Nieuw"))</f>
        <v/>
      </c>
      <c r="W4" s="223">
        <f>Tabel16[[#This Row],[Volume (m3)]]*Tabel16[[#This Row],[Geschatte recovery rate (%)]]</f>
        <v/>
      </c>
      <c r="X4" s="424">
        <f>IFERROR(VLOOKUP(J4,$A$12:$D$15,4,FALSE),0)</f>
        <v/>
      </c>
      <c r="Y4" s="407">
        <f>Tabel16[[#This Row],[Verkoopbaar volume (m3)]]*Tabel16[[#This Row],[Verkoopprijs aan retailer per m³]]</f>
        <v/>
      </c>
    </row>
    <row r="5">
      <c r="A5" s="15" t="n">
        <v>2</v>
      </c>
      <c r="B5" s="15" t="inlineStr">
        <is>
          <t>zetwerk aan de gebouwschil</t>
        </is>
      </c>
      <c r="C5" s="15" t="inlineStr">
        <is>
          <t>Gevel-, dak- en plaatmateriaal</t>
        </is>
      </c>
      <c r="D5" s="16" t="n">
        <v>4</v>
      </c>
      <c r="E5" s="148" t="n">
        <v>5</v>
      </c>
      <c r="F5" s="148" t="n">
        <v>3</v>
      </c>
      <c r="G5" s="148" t="n">
        <v>4</v>
      </c>
      <c r="H5" s="143">
        <f>IF(COUNTA(E5:G5)=0,"",AVERAGE(E5:G5))</f>
        <v/>
      </c>
      <c r="I5" s="220">
        <f>IFERROR(ROUND(Tabel16[[#This Row],[Gem. score]]/5,2),0)</f>
        <v/>
      </c>
      <c r="J5" s="350">
        <f>IF(F3="","",IF(F3&gt;=4,"A-Aluminium",IF(F3&gt;=2.75,"B- Aluminium","C-Aluminium")))</f>
        <v/>
      </c>
      <c r="K5" s="222">
        <f>IF(J5="A-aluminium","Hergebruik",IF(J5="C-aluminium","Recycling",IF(H5&gt;=4,"Hergebruik","Recycling")))</f>
        <v/>
      </c>
      <c r="L5" s="5">
        <f>IF(I5&gt;=75%,"Hoogwaardig","Laagwaardig")</f>
        <v/>
      </c>
      <c r="M5" s="15" t="n">
        <v>48000</v>
      </c>
      <c r="N5" s="15" t="n">
        <v>2430</v>
      </c>
      <c r="O5" s="15" t="n">
        <v>5400</v>
      </c>
      <c r="P5" s="206" t="n">
        <v>2</v>
      </c>
      <c r="Q5" s="210" t="n">
        <v>20</v>
      </c>
      <c r="R5" s="207">
        <f>Tabel16[[#This Row],[Volume (m3)]]*Tabel16[[#This Row],[CO2-nieuw (kg)]]+Tabel16[[#This Row],[Volume (m3)]]*Tabel16[[#This Row],[Transport-impact ]]*Tabel16[[#This Row],[Transport afstand (km)]]</f>
        <v/>
      </c>
      <c r="S5" s="423">
        <f>Tabel16[[#This Row],[Volume (m3)]]*Tabel16[[#This Row],[CO2-Hergebruik (kg)]]+Tabel16[[#This Row],[Volume (m3)]]*Tabel16[[#This Row],[Transport afstand (km)]]*Tabel16[[#This Row],[Transport-impact ]]</f>
        <v/>
      </c>
      <c r="T5" s="423">
        <f>Tabel16[[#This Row],[Volume (m3)]]*Tabel16[[#This Row],[CO2- recycle (kg)]]+Tabel16[[#This Row],[Volume (m3)]]*Tabel16[[#This Row],[Transport afstand (km)]]*Tabel16[[#This Row],[Transport-impact ]]</f>
        <v/>
      </c>
      <c r="U5" s="57">
        <f>IF(V5="hergebruik",R5-S5,IF(V5="recycling",T5-S5,""))</f>
        <v/>
      </c>
      <c r="V5" s="82">
        <f>IF(S5=MIN(R5:T5),"Hergebruik",IF(T5=MIN(R5:T5),"Recycling","Nieuw"))</f>
        <v/>
      </c>
      <c r="W5" s="223">
        <f>Tabel16[[#This Row],[Volume (m3)]]*Tabel16[[#This Row],[Geschatte recovery rate (%)]]</f>
        <v/>
      </c>
      <c r="X5" s="425">
        <f>IFERROR(VLOOKUP(J5,$A$12:$D$15,4,FALSE),0)</f>
        <v/>
      </c>
      <c r="Y5" s="407">
        <f>Tabel16[[#This Row],[Verkoopbaar volume (m3)]]*Tabel16[[#This Row],[Verkoopprijs aan retailer per m³]]</f>
        <v/>
      </c>
    </row>
    <row r="6">
      <c r="A6" s="15" t="n">
        <v>3</v>
      </c>
      <c r="B6" s="15" t="inlineStr">
        <is>
          <t>Lichte aluminium profielen</t>
        </is>
      </c>
      <c r="C6" s="15" t="inlineStr">
        <is>
          <t>Afbouw- en systeemplafondprofielen</t>
        </is>
      </c>
      <c r="D6" s="16" t="n">
        <v>4</v>
      </c>
      <c r="E6" s="148" t="n">
        <v>1</v>
      </c>
      <c r="F6" s="148" t="n">
        <v>3</v>
      </c>
      <c r="G6" s="148" t="n">
        <v>3</v>
      </c>
      <c r="H6" s="216">
        <f>IF(COUNTA(E6:G6)=0,"",AVERAGE(E6:G6))</f>
        <v/>
      </c>
      <c r="I6" s="220">
        <f>IFERROR(ROUND(Tabel16[[#This Row],[Gem. score]]/5,2),0)</f>
        <v/>
      </c>
      <c r="J6" s="350">
        <f>IF(F4="","",IF(F4&gt;=4,"A-Aluminium",IF(F4&gt;=2.75,"B- Aluminium","C-Aluminium")))</f>
        <v/>
      </c>
      <c r="K6" s="222">
        <f>IF(J6="A-aluminium","Hergebruik",IF(J6="C-aluminium","Recycling",IF(H6&gt;=4,"Hergebruik","Recycling")))</f>
        <v/>
      </c>
      <c r="L6" s="5">
        <f>IF(I6&gt;=75%,"Hoogwaardig","Laagwaardig")</f>
        <v/>
      </c>
      <c r="M6" s="15" t="n">
        <v>48000</v>
      </c>
      <c r="N6" s="15" t="n">
        <v>2430</v>
      </c>
      <c r="O6" s="15" t="n">
        <v>5400</v>
      </c>
      <c r="P6" s="206" t="n">
        <v>2</v>
      </c>
      <c r="Q6" s="210" t="n">
        <v>20</v>
      </c>
      <c r="R6" s="207">
        <f>Tabel16[[#This Row],[Volume (m3)]]*Tabel16[[#This Row],[CO2-nieuw (kg)]]+Tabel16[[#This Row],[Volume (m3)]]*Tabel16[[#This Row],[Transport-impact ]]*Tabel16[[#This Row],[Transport afstand (km)]]</f>
        <v/>
      </c>
      <c r="S6" s="423">
        <f>Tabel16[[#This Row],[Volume (m3)]]*Tabel16[[#This Row],[CO2-Hergebruik (kg)]]+Tabel16[[#This Row],[Volume (m3)]]*Tabel16[[#This Row],[Transport afstand (km)]]*Tabel16[[#This Row],[Transport-impact ]]</f>
        <v/>
      </c>
      <c r="T6" s="423">
        <f>Tabel16[[#This Row],[Volume (m3)]]*Tabel16[[#This Row],[CO2- recycle (kg)]]+Tabel16[[#This Row],[Volume (m3)]]*Tabel16[[#This Row],[Transport afstand (km)]]*Tabel16[[#This Row],[Transport-impact ]]</f>
        <v/>
      </c>
      <c r="U6" s="57">
        <f>IF(V6="hergebruik",R6-S6,IF(V6="recycling",T6-S6,""))</f>
        <v/>
      </c>
      <c r="V6" s="82">
        <f>IF(S6=MIN(R6:T6),"Hergebruik",IF(T6=MIN(R6:T6),"Recycling","Nieuw"))</f>
        <v/>
      </c>
      <c r="W6" s="223">
        <f>Tabel16[[#This Row],[Volume (m3)]]*Tabel16[[#This Row],[Geschatte recovery rate (%)]]</f>
        <v/>
      </c>
      <c r="X6" s="425">
        <f>IFERROR(VLOOKUP(J6,$A$12:$D$15,4,FALSE),0)</f>
        <v/>
      </c>
      <c r="Y6" s="407">
        <f>Tabel16[[#This Row],[Verkoopbaar volume (m3)]]*Tabel16[[#This Row],[Verkoopprijs aan retailer per m³]]</f>
        <v/>
      </c>
    </row>
    <row r="7">
      <c r="A7" s="15" t="n">
        <v>4</v>
      </c>
      <c r="B7" s="15" t="inlineStr">
        <is>
          <t>Aluminium slipplaat trap</t>
        </is>
      </c>
      <c r="C7" s="15" t="inlineStr">
        <is>
          <t>Installatie- en functionele aluminiumdelen</t>
        </is>
      </c>
      <c r="D7" s="16" t="n">
        <v>4</v>
      </c>
      <c r="E7" s="217" t="n">
        <v>1</v>
      </c>
      <c r="F7" s="217" t="n">
        <v>2</v>
      </c>
      <c r="G7" s="217" t="n">
        <v>4</v>
      </c>
      <c r="H7" s="218">
        <f>IF(COUNTA(E7:G7)=0,"",AVERAGE(E7:G7))</f>
        <v/>
      </c>
      <c r="I7" s="220">
        <f>IFERROR(ROUND(Tabel16[[#This Row],[Gem. score]]/5,2),0)</f>
        <v/>
      </c>
      <c r="J7" s="350">
        <f>IF(F5="","",IF(F5&gt;=4,"A-Aluminium",IF(F5&gt;=2.75,"B- Aluminium","C-Aluminium")))</f>
        <v/>
      </c>
      <c r="K7" s="222">
        <f>IF(J7="A-aluminium","Hergebruik",IF(J7="C-aluminium","Recycling",IF(H7&gt;=4,"Hergebruik","Recycling")))</f>
        <v/>
      </c>
      <c r="L7" s="5">
        <f>IF(I7&gt;=75%,"Hoogwaardig","Laagwaardig")</f>
        <v/>
      </c>
      <c r="M7" s="15" t="n">
        <v>48000</v>
      </c>
      <c r="N7" s="15" t="n">
        <v>2430</v>
      </c>
      <c r="O7" s="15" t="n">
        <v>5400</v>
      </c>
      <c r="P7" s="206" t="n">
        <v>2</v>
      </c>
      <c r="Q7" s="210" t="n">
        <v>20</v>
      </c>
      <c r="R7" s="211">
        <f>Tabel16[[#This Row],[Volume (m3)]]*Tabel16[[#This Row],[CO2-nieuw (kg)]]+Tabel16[[#This Row],[Volume (m3)]]*Tabel16[[#This Row],[Transport-impact ]]*Tabel16[[#This Row],[Transport afstand (km)]]</f>
        <v/>
      </c>
      <c r="S7" s="423">
        <f>Tabel16[[#This Row],[Volume (m3)]]*Tabel16[[#This Row],[CO2-Hergebruik (kg)]]+Tabel16[[#This Row],[Volume (m3)]]*Tabel16[[#This Row],[Transport afstand (km)]]*Tabel16[[#This Row],[Transport-impact ]]</f>
        <v/>
      </c>
      <c r="T7" s="423">
        <f>Tabel16[[#This Row],[Volume (m3)]]*Tabel16[[#This Row],[CO2- recycle (kg)]]+Tabel16[[#This Row],[Volume (m3)]]*Tabel16[[#This Row],[Transport afstand (km)]]*Tabel16[[#This Row],[Transport-impact ]]</f>
        <v/>
      </c>
      <c r="U7" s="57">
        <f>IF(V7="hergebruik",R7-S7,IF(V7="recycling",T7-S7,""))</f>
        <v/>
      </c>
      <c r="V7" s="82">
        <f>IF(S7=MIN(R7:T7),"Hergebruik",IF(T7=MIN(R7:T7),"Recycling","Nieuw"))</f>
        <v/>
      </c>
      <c r="W7" s="223">
        <f>Tabel16[[#This Row],[Volume (m3)]]*Tabel16[[#This Row],[Geschatte recovery rate (%)]]</f>
        <v/>
      </c>
      <c r="X7" s="425">
        <f>IFERROR(VLOOKUP(J7,$A$12:$D$15,4,FALSE),0)</f>
        <v/>
      </c>
      <c r="Y7" s="426">
        <f>Tabel113[[#This Row],[Verkoopbaar volume (m3)]]*Tabel113[[#This Row],[Verkoopprijs aan retailer per m³]]</f>
        <v/>
      </c>
    </row>
    <row r="8" ht="14.65" customHeight="1" thickBot="1">
      <c r="A8" s="5" t="n"/>
      <c r="B8" s="15" t="n"/>
      <c r="C8" s="15" t="n"/>
      <c r="D8" s="5" t="n"/>
      <c r="E8" s="219" t="n"/>
      <c r="F8" s="219" t="n"/>
      <c r="G8" s="219" t="n"/>
      <c r="H8" s="219" t="n"/>
      <c r="I8" s="221" t="n"/>
      <c r="J8" s="272" t="n"/>
      <c r="K8" s="83" t="n"/>
      <c r="L8" s="118" t="n"/>
      <c r="M8" s="191" t="n"/>
      <c r="N8" s="191" t="n"/>
      <c r="O8" s="191" t="n"/>
      <c r="P8" s="191" t="n"/>
      <c r="Q8" s="212" t="n"/>
      <c r="R8" s="152" t="n"/>
      <c r="S8" s="191" t="n"/>
      <c r="T8" s="191" t="n"/>
      <c r="U8" s="213" t="n"/>
      <c r="V8" s="214" t="n"/>
      <c r="W8" s="155" t="n"/>
      <c r="X8" s="427">
        <f>IFERROR(VLOOKUP(J9,$A$12:$D$15,4,FALSE),0)</f>
        <v/>
      </c>
      <c r="Y8" s="428" t="n"/>
    </row>
    <row r="9">
      <c r="A9" s="5" t="n"/>
      <c r="B9" s="15" t="n"/>
      <c r="C9" s="5" t="n"/>
      <c r="D9" s="5" t="n"/>
      <c r="E9" s="267" t="n"/>
      <c r="F9" s="267" t="n"/>
      <c r="G9" s="267" t="n"/>
      <c r="H9" s="268" t="n"/>
      <c r="I9" s="269" t="n"/>
      <c r="J9" s="15" t="n"/>
      <c r="K9" s="270" t="n"/>
      <c r="L9" s="40" t="n"/>
      <c r="M9" s="15" t="n"/>
      <c r="N9" s="15" t="n"/>
      <c r="O9" s="15" t="n"/>
      <c r="P9" s="15" t="n"/>
      <c r="Q9" s="210" t="n"/>
      <c r="R9" s="140">
        <f>Tabel16[[#This Row],[Volume (m3)]]*Tabel16[[#This Row],[CO2-nieuw (kg)]]+Tabel16[[#This Row],[Volume (m3)]]*Tabel16[[#This Row],[Transport-impact ]]*Tabel16[[#This Row],[Transport afstand (km)]]</f>
        <v/>
      </c>
      <c r="S9" s="15" t="n"/>
      <c r="T9" s="15" t="n"/>
      <c r="U9" s="211">
        <f>Tabel16[[#This Row],[Totale CO2 nieuw]]-Tabel16[[#This Row],[Totale CO2 hergebruik]]</f>
        <v/>
      </c>
      <c r="V9" s="271">
        <f>IF(S9=MIN(R9:T9),"Hergebruik",IF(T9=MIN(R9:T9),"Recycling","Nieuw"))</f>
        <v/>
      </c>
      <c r="W9" s="141">
        <f>Tabel16[[#This Row],[Volume (m3)]]*Tabel16[[#This Row],[Geschatte recovery rate (%)]]</f>
        <v/>
      </c>
      <c r="X9" s="15">
        <f>IFERROR(VLOOKUP(K10,$A$12:$D$15,4,FALSE),0)</f>
        <v/>
      </c>
      <c r="Y9" s="127">
        <f>Tabel113[[#This Row],[Verkoopbaar volume (m3)]]*Tabel113[[#This Row],[Verkoopprijs aan retailer per m³]]</f>
        <v/>
      </c>
    </row>
    <row r="11" ht="28.5" customHeight="1">
      <c r="A11" s="45" t="inlineStr">
        <is>
          <t>Aluminiumklasse</t>
        </is>
      </c>
      <c r="B11" s="47" t="inlineStr">
        <is>
          <t>Retail recyclingprijs per m³</t>
        </is>
      </c>
      <c r="C11" s="47" t="inlineStr">
        <is>
          <t>Metaalhandel-inkoopfactor</t>
        </is>
      </c>
      <c r="D11" s="47" t="inlineStr">
        <is>
          <t>Verkoopprijs aan retailer/metaalhandelaar per m³</t>
        </is>
      </c>
    </row>
    <row r="12">
      <c r="A12" s="44" t="inlineStr">
        <is>
          <t>A-aluminium</t>
        </is>
      </c>
      <c r="B12" s="429" t="n">
        <v>450</v>
      </c>
      <c r="C12" s="53" t="n">
        <v>0.85</v>
      </c>
      <c r="D12" s="417">
        <f>Tabel25[[#This Row],[Retail recyclingprijs per m³]]*Tabel25[[#This Row],[Metaalhandel-inkoopfactor]]</f>
        <v/>
      </c>
    </row>
    <row r="13" ht="15.4" customHeight="1">
      <c r="A13" s="44" t="inlineStr">
        <is>
          <t>B-aluminium</t>
        </is>
      </c>
      <c r="B13" s="429" t="n">
        <v>350</v>
      </c>
      <c r="C13" s="53" t="n">
        <v>0.8</v>
      </c>
      <c r="D13" s="417">
        <f>Tabel25[[#This Row],[Retail recyclingprijs per m³]]*Tabel25[[#This Row],[Metaalhandel-inkoopfactor]]</f>
        <v/>
      </c>
      <c r="H13" s="55" t="n"/>
    </row>
    <row r="14">
      <c r="A14" s="44" t="inlineStr">
        <is>
          <t xml:space="preserve">C-aluminium </t>
        </is>
      </c>
      <c r="B14" s="429" t="n">
        <v>250</v>
      </c>
      <c r="C14" s="53" t="n">
        <v>0.65</v>
      </c>
      <c r="D14" s="417">
        <f>Tabel25[[#This Row],[Retail recyclingprijs per m³]]*Tabel25[[#This Row],[Metaalhandel-inkoopfactor]]</f>
        <v/>
      </c>
    </row>
    <row r="15" ht="28.5" customHeight="1">
      <c r="A15" s="44" t="inlineStr">
        <is>
          <t>Bijzondere aluminium</t>
        </is>
      </c>
      <c r="B15" s="429" t="n">
        <v>500</v>
      </c>
      <c r="C15" s="53" t="n">
        <v>0.85</v>
      </c>
      <c r="D15" s="417">
        <f>Tabel25[[#This Row],[Retail recyclingprijs per m³]]*Tabel25[[#This Row],[Metaalhandel-inkoopfactor]]</f>
        <v/>
      </c>
      <c r="H15" s="55" t="n"/>
    </row>
    <row r="16"/>
  </sheetData>
  <mergeCells count="4">
    <mergeCell ref="A1:E1"/>
    <mergeCell ref="F1:J1"/>
    <mergeCell ref="M1:V1"/>
    <mergeCell ref="W1:Y1"/>
  </mergeCells>
  <conditionalFormatting sqref="I3:I9">
    <cfRule type="colorScale" priority="24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K3:K7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K8">
    <cfRule type="expression" priority="3" dxfId="2">
      <formula>K8="Hergebruik"</formula>
    </cfRule>
    <cfRule type="expression" priority="4" dxfId="1">
      <formula>K8="Recycling"</formula>
    </cfRule>
    <cfRule type="expression" priority="5" dxfId="0">
      <formula>K8="Afval"</formula>
    </cfRule>
  </conditionalFormatting>
  <conditionalFormatting sqref="Q3:Q9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sqref="C3:C9 J3 J9" showErrorMessage="1" showInputMessage="1" allowBlank="0" type="list">
      <formula1>"Staal,Hout,Beton,Aluminium,Koper,Keramiek,Bitumen,Overig"</formula1>
    </dataValidation>
    <dataValidation sqref="N3:P7 E3:G9 V8" showErrorMessage="1" showInputMessage="1" allowBlank="0" type="list">
      <formula1>"1,2,3,4,5"</formula1>
    </dataValidation>
  </dataValidations>
  <pageMargins left="0.7" right="0.7" top="0.75" bottom="0.75" header="0.3" footer="0.3"/>
  <legacyDrawing r:id="anysvml"/>
  <tableParts count="2">
    <tablePart r:id="rId1"/>
    <tablePart r:id="rId2"/>
  </tableParts>
</worksheet>
</file>

<file path=xl/worksheets/sheet1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J10"/>
  <sheetViews>
    <sheetView workbookViewId="0">
      <selection activeCell="G3" sqref="G3"/>
    </sheetView>
  </sheetViews>
  <sheetFormatPr baseColWidth="8" defaultColWidth="8.796875" defaultRowHeight="14.25"/>
  <cols>
    <col width="17.1328125" customWidth="1" min="1" max="1"/>
    <col width="35.796875" customWidth="1" min="2" max="2"/>
    <col width="44.1328125" customWidth="1" min="3" max="3"/>
    <col width="41.1328125" customWidth="1" min="4" max="4"/>
    <col width="5.1328125" customWidth="1" min="5" max="5"/>
    <col width="26.796875" customWidth="1" min="6" max="6"/>
    <col width="34.1328125" customWidth="1" min="7" max="7"/>
    <col width="54.796875" customWidth="1" min="8" max="8"/>
    <col width="36.796875" customWidth="1" min="9" max="9"/>
    <col width="65.1328125" customWidth="1" min="10" max="10"/>
  </cols>
  <sheetData>
    <row r="1">
      <c r="A1" s="56" t="inlineStr">
        <is>
          <t>Categorie</t>
        </is>
      </c>
      <c r="B1" s="56" t="inlineStr">
        <is>
          <t>Betekenis</t>
        </is>
      </c>
      <c r="C1" s="56" t="inlineStr">
        <is>
          <t>Hoe beoordelen?</t>
        </is>
      </c>
      <c r="D1" s="56" t="inlineStr">
        <is>
          <t>Voorbeelden</t>
        </is>
      </c>
      <c r="F1" s="229" t="inlineStr">
        <is>
          <t>Categorie</t>
        </is>
      </c>
      <c r="G1" s="229" t="inlineStr">
        <is>
          <t>Definitie</t>
        </is>
      </c>
      <c r="H1" s="229" t="inlineStr">
        <is>
          <t xml:space="preserve">Voorbeelden in gebouwen </t>
        </is>
      </c>
      <c r="I1" s="229" t="inlineStr">
        <is>
          <t>Bouwdelen</t>
        </is>
      </c>
      <c r="J1" s="229" t="inlineStr">
        <is>
          <t>Typische gebouwtypen</t>
        </is>
      </c>
    </row>
    <row r="2" ht="28.5" customHeight="1">
      <c r="A2" s="41" t="inlineStr">
        <is>
          <t>A-aluminium</t>
        </is>
      </c>
      <c r="B2" s="51" t="inlineStr">
        <is>
          <t>Schoon, goed gescheiden aluminium met hoge materiaalwaarde</t>
        </is>
      </c>
      <c r="C2" s="51" t="inlineStr">
        <is>
          <t>Hoge kans op hoogwaardige recycling of hergebruik als element</t>
        </is>
      </c>
      <c r="D2" s="51" t="inlineStr">
        <is>
          <t>aluminium kozijnen, aluminium gevelbekleding, aluminium profielen, aluminium daktrimmen</t>
        </is>
      </c>
      <c r="F2" s="231" t="inlineStr">
        <is>
          <t>Kozijnen, puien en vliesgevels</t>
        </is>
      </c>
      <c r="G2" s="98" t="inlineStr">
        <is>
          <t>Aluminium gevelelementen en raam-/deursystemen.</t>
        </is>
      </c>
      <c r="H2" s="98" t="inlineStr">
        <is>
          <t>aluminium kozijn, raamprofiel, deurprofiel, schuifpui, vliesgevel, curtain wall, gevelstijl</t>
        </is>
      </c>
      <c r="I2" s="98" t="inlineStr">
        <is>
          <t>Gevel, kozijnen, entrees</t>
        </is>
      </c>
      <c r="J2" s="98" t="inlineStr">
        <is>
          <t>utiliteitsbouw, kantoren, appartementen, scholen</t>
        </is>
      </c>
    </row>
    <row r="3" ht="42.75" customHeight="1">
      <c r="A3" s="41" t="inlineStr">
        <is>
          <t>B-aluminium</t>
        </is>
      </c>
      <c r="B3" s="51" t="inlineStr">
        <is>
          <t>Aluminium met lichte schade, coating, vervuiling of bevestigingsresten</t>
        </is>
      </c>
      <c r="C3" s="51" t="inlineStr">
        <is>
          <t>Meestal recycling, soms hergebruik mogelijk</t>
        </is>
      </c>
      <c r="D3" s="51" t="inlineStr">
        <is>
          <t>gecoate aluminium profielen, beschadigde kozijnen, ventilatieroosters, aluminium systeemwandprofielen</t>
        </is>
      </c>
      <c r="F3" s="231" t="inlineStr">
        <is>
          <t>Gevel-, dak- en plaatmateriaal</t>
        </is>
      </c>
      <c r="G3" s="98" t="inlineStr">
        <is>
          <t>Aluminium platen, panelen en zetwerk aan de gebouwschil.</t>
        </is>
      </c>
      <c r="H3" s="98" t="inlineStr">
        <is>
          <t>aluminium gevelplaat, aluminium composietpaneel, dakrand, boeideel, zetwerk, cassettepaneel, daktrim</t>
        </is>
      </c>
      <c r="I3" s="98" t="inlineStr">
        <is>
          <t>Gevel, dakrand, dakdetails</t>
        </is>
      </c>
      <c r="J3" s="98" t="inlineStr">
        <is>
          <t>utiliteitsbouw, industrie, appartementen</t>
        </is>
      </c>
    </row>
    <row r="4" ht="42.75" customHeight="1">
      <c r="A4" s="41" t="inlineStr">
        <is>
          <t>C-aluminium</t>
        </is>
      </c>
      <c r="B4" s="51" t="inlineStr">
        <is>
          <t>Gemengd, vervuild of samengesteld aluminium dat moeilijk te scheiden is</t>
        </is>
      </c>
      <c r="C4" s="51" t="inlineStr">
        <is>
          <t>Vooral geschikt voor recycling na scheiding; lagere waarde door vervuiling</t>
        </is>
      </c>
      <c r="D4" s="51" t="inlineStr">
        <is>
          <t>gemengde aluminiumfractie, aluminium met kunststof, samengestelde gevelpanelen, vervuilde profielen</t>
        </is>
      </c>
      <c r="F4" s="231" t="inlineStr">
        <is>
          <t>Afbouw- en systeemplafondprofielen</t>
        </is>
      </c>
      <c r="G4" s="98" t="inlineStr">
        <is>
          <t xml:space="preserve">Lichte aluminium profielen </t>
        </is>
      </c>
      <c r="H4" s="98" t="inlineStr">
        <is>
          <t>systeemplafondprofiel, wandprofiel aluminium, rail, plintprofiel, hoekprofiel, roosterframe</t>
        </is>
      </c>
      <c r="I4" s="98" t="inlineStr">
        <is>
          <t>Binnenafbouw, plafonds, wanden</t>
        </is>
      </c>
      <c r="J4" s="98" t="inlineStr">
        <is>
          <t>kantoren, scholen, ziekenhuizen, winkels</t>
        </is>
      </c>
    </row>
    <row r="5" ht="42.75" customHeight="1">
      <c r="A5" s="41" t="inlineStr">
        <is>
          <t>Bijzonder aluminium</t>
        </is>
      </c>
      <c r="B5" s="51" t="inlineStr">
        <is>
          <t>Aluminium systemen of bouwelementen die niet goed als standaard aluminiumvolume beoordeeld kunnen worden</t>
        </is>
      </c>
      <c r="C5" s="51" t="inlineStr">
        <is>
          <t>Apart beoordelen op functie, maatvoering, demontage, conditie en hergebruikspotentie</t>
        </is>
      </c>
      <c r="D5" s="51" t="inlineStr">
        <is>
          <t>vliesgevels, complete kozijnsystemen, zonwering, aluminium deuren, gevelsystemen, dakrandsystemen</t>
        </is>
      </c>
      <c r="F5" s="231" t="inlineStr">
        <is>
          <t>Installatie- en functionele aluminiumdelen</t>
        </is>
      </c>
      <c r="G5" s="98" t="inlineStr">
        <is>
          <t>Aluminium in technische of functionele bouwonderdelen. Aluminium slipplaat trap</t>
        </is>
      </c>
      <c r="H5" s="98" t="inlineStr">
        <is>
          <t>luchtrooster, ventilatierooster, lamellen, zonwering, kabelgoot aluminium, radiatorprofiel, technische omkasting</t>
        </is>
      </c>
      <c r="I5" s="98" t="inlineStr">
        <is>
          <t>Installaties, gevel, klimaatsystemen</t>
        </is>
      </c>
      <c r="J5" s="98" t="inlineStr">
        <is>
          <t>utiliteitsbouw, industrie, appartementen</t>
        </is>
      </c>
    </row>
    <row r="7">
      <c r="A7" s="47" t="inlineStr">
        <is>
          <t>Aluminium PRR</t>
        </is>
      </c>
      <c r="B7" s="45" t="inlineStr">
        <is>
          <t>Routeadvies</t>
        </is>
      </c>
      <c r="C7" s="45" t="inlineStr">
        <is>
          <t>Onderbouwing</t>
        </is>
      </c>
    </row>
    <row r="8" ht="28.5" customHeight="1">
      <c r="A8" s="46" t="inlineStr">
        <is>
          <t>≥ 70%</t>
        </is>
      </c>
      <c r="B8" s="44" t="inlineStr">
        <is>
          <t>Hergebruik &gt; recycling</t>
        </is>
      </c>
      <c r="C8" s="44" t="inlineStr">
        <is>
          <t>Hergebruik kan, maar hoogwaardige recycling is vaak praktischer.</t>
        </is>
      </c>
    </row>
    <row r="9" ht="28.5" customHeight="1">
      <c r="A9" s="46" t="inlineStr">
        <is>
          <t>25% – 69%</t>
        </is>
      </c>
      <c r="B9" s="44" t="inlineStr">
        <is>
          <t>Recycling</t>
        </is>
      </c>
      <c r="C9" s="44" t="inlineStr">
        <is>
          <t>Koper blijft waardevol als recyclebare stroom, ook bij lagere PRR.</t>
        </is>
      </c>
    </row>
    <row r="10" ht="28.5" customHeight="1">
      <c r="A10" s="46" t="inlineStr">
        <is>
          <t>&lt; 25%</t>
        </is>
      </c>
      <c r="B10" s="44" t="inlineStr">
        <is>
          <t>Handmatig beoordelen</t>
        </is>
      </c>
      <c r="C10" s="44" t="inlineStr">
        <is>
          <t>Alleen bij onbekende of sterk samengestelde koperstromen.</t>
        </is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17"/>
  <sheetViews>
    <sheetView workbookViewId="0">
      <selection activeCell="J22" sqref="J22"/>
    </sheetView>
  </sheetViews>
  <sheetFormatPr baseColWidth="8" defaultColWidth="8.796875" defaultRowHeight="14.25"/>
  <cols>
    <col width="20" bestFit="1" customWidth="1" min="1" max="1"/>
    <col width="15" customWidth="1" min="2" max="2"/>
    <col width="35" customWidth="1" min="3" max="3"/>
    <col width="35" customWidth="1" min="4" max="4"/>
  </cols>
  <sheetData>
    <row r="1">
      <c r="A1" s="405" t="inlineStr">
        <is>
          <t>Herkomst</t>
        </is>
      </c>
      <c r="B1" s="405" t="inlineStr">
        <is>
          <t>Volume (m³)</t>
        </is>
      </c>
    </row>
    <row r="2">
      <c r="A2" s="406" t="inlineStr">
        <is>
          <t>Totaal</t>
        </is>
      </c>
      <c r="B2" s="406">
        <f>SUM(B3:B11)</f>
        <v/>
      </c>
    </row>
    <row r="3">
      <c r="A3" s="244" t="inlineStr">
        <is>
          <t>Plafonds</t>
        </is>
      </c>
      <c r="B3" s="244" t="n">
        <v>0</v>
      </c>
    </row>
    <row r="4">
      <c r="A4" s="244" t="inlineStr">
        <is>
          <t>Kolommen</t>
        </is>
      </c>
      <c r="B4" s="244" t="n">
        <v>0</v>
      </c>
    </row>
    <row r="5">
      <c r="A5" s="244" t="inlineStr">
        <is>
          <t>Gevelpanelen</t>
        </is>
      </c>
      <c r="B5" s="244" t="n">
        <v>0</v>
      </c>
    </row>
    <row r="6">
      <c r="A6" s="244" t="inlineStr">
        <is>
          <t>Deuren</t>
        </is>
      </c>
      <c r="B6" s="244" t="n">
        <v>0.01</v>
      </c>
    </row>
    <row r="7">
      <c r="A7" s="244" t="inlineStr">
        <is>
          <t>Vloeren</t>
        </is>
      </c>
      <c r="B7" s="244" t="n">
        <v>0</v>
      </c>
    </row>
    <row r="8">
      <c r="A8" s="244" t="inlineStr">
        <is>
          <t>Daken</t>
        </is>
      </c>
      <c r="B8" s="244" t="n">
        <v>0</v>
      </c>
    </row>
    <row r="9">
      <c r="A9" s="244" t="inlineStr">
        <is>
          <t>Wanden</t>
        </is>
      </c>
      <c r="B9" s="244" t="n">
        <v>0</v>
      </c>
    </row>
    <row r="10">
      <c r="A10" s="244" t="inlineStr">
        <is>
          <t>Ramen</t>
        </is>
      </c>
      <c r="B10" s="244" t="n">
        <v>0</v>
      </c>
    </row>
    <row r="11">
      <c r="A11" s="244" t="inlineStr">
        <is>
          <t>Trappen</t>
        </is>
      </c>
      <c r="B11" s="244" t="n">
        <v>0</v>
      </c>
    </row>
    <row r="15">
      <c r="A15" s="410" t="inlineStr">
        <is>
          <t>DETAIL REGELS (bron: schedules)</t>
        </is>
      </c>
    </row>
    <row r="16">
      <c r="A16" s="405" t="inlineStr">
        <is>
          <t>Herkomst</t>
        </is>
      </c>
      <c r="B16" s="405" t="inlineStr">
        <is>
          <t>Volume</t>
        </is>
      </c>
      <c r="C16" s="405" t="inlineStr">
        <is>
          <t>Materiaal</t>
        </is>
      </c>
      <c r="D16" s="405" t="inlineStr">
        <is>
          <t>Schedule</t>
        </is>
      </c>
    </row>
    <row r="17">
      <c r="A17" t="inlineStr">
        <is>
          <t>Deuren</t>
        </is>
      </c>
      <c r="B17" t="n">
        <v>0.01</v>
      </c>
      <c r="C17" t="inlineStr">
        <is>
          <t>NLRS_h4_aluminium</t>
        </is>
      </c>
      <c r="D17" t="inlineStr">
        <is>
          <t>MaterialTakeoff, door</t>
        </is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:r="http://schemas.openxmlformats.org/officeDocument/2006/relationships" xmlns="http://schemas.openxmlformats.org/spreadsheetml/2006/main">
  <sheetPr>
    <tabColor theme="6" tint="0.7999816888943144"/>
    <outlinePr summaryBelow="1" summaryRight="1"/>
    <pageSetUpPr/>
  </sheetPr>
  <dimension ref="A1:Z17"/>
  <sheetViews>
    <sheetView topLeftCell="L1" zoomScale="90" zoomScaleNormal="90" workbookViewId="0">
      <selection activeCell="W2" sqref="W2"/>
    </sheetView>
  </sheetViews>
  <sheetFormatPr baseColWidth="8" defaultColWidth="8.796875" defaultRowHeight="14.25"/>
  <cols>
    <col width="13.1328125" customWidth="1" min="1" max="2"/>
    <col width="18.1328125" bestFit="1" customWidth="1" min="3" max="3"/>
    <col width="13.46484375" customWidth="1" min="4" max="4"/>
    <col width="18" customWidth="1" min="5" max="5"/>
    <col width="22.1328125" bestFit="1" customWidth="1" min="6" max="6"/>
    <col width="20.796875" customWidth="1" min="7" max="7"/>
    <col width="20.1328125" customWidth="1" min="8" max="8"/>
    <col width="18" customWidth="1" min="9" max="12"/>
    <col width="16" customWidth="1" min="13" max="13"/>
    <col width="15.796875" customWidth="1" min="14" max="14"/>
    <col width="18" customWidth="1" min="15" max="15"/>
    <col width="22" customWidth="1" min="16" max="16"/>
    <col width="20" customWidth="1" min="17" max="17"/>
    <col width="18" customWidth="1" min="18" max="19"/>
    <col width="16" customWidth="1" min="20" max="21"/>
    <col width="18.46484375" bestFit="1" customWidth="1" min="22" max="22"/>
    <col width="19.796875" bestFit="1" customWidth="1" min="23" max="23"/>
    <col width="42" customWidth="1" min="24" max="24"/>
    <col width="16.1328125" bestFit="1" customWidth="1" min="25" max="25"/>
    <col width="12.796875" bestFit="1" customWidth="1" min="26" max="26"/>
  </cols>
  <sheetData>
    <row r="1" ht="17.25" customHeight="1" thickBot="1">
      <c r="A1" s="375" t="inlineStr">
        <is>
          <t>materiaal gegevens</t>
        </is>
      </c>
      <c r="G1" s="380" t="inlineStr">
        <is>
          <t>Recovery rate</t>
        </is>
      </c>
      <c r="H1" s="412" t="n"/>
      <c r="I1" s="412" t="n"/>
      <c r="J1" s="412" t="n"/>
      <c r="K1" s="412" t="n"/>
      <c r="L1" s="418" t="n"/>
      <c r="M1" s="419" t="inlineStr">
        <is>
          <t>Klimaatimpact</t>
        </is>
      </c>
      <c r="N1" s="412" t="n"/>
      <c r="O1" s="412" t="n"/>
      <c r="P1" s="412" t="n"/>
      <c r="Q1" s="412" t="n"/>
      <c r="R1" s="412" t="n"/>
      <c r="S1" s="412" t="n"/>
      <c r="T1" s="412" t="n"/>
      <c r="U1" s="412" t="n"/>
      <c r="V1" s="420" t="n"/>
      <c r="W1" s="421" t="inlineStr">
        <is>
          <t>Fincancieel</t>
        </is>
      </c>
      <c r="X1" s="412" t="n"/>
      <c r="Y1" s="412" t="n"/>
      <c r="Z1" s="420" t="n"/>
    </row>
    <row r="2" ht="47" customHeight="1" thickBot="1">
      <c r="A2" s="36" t="inlineStr">
        <is>
          <t>Materiaal-ID</t>
        </is>
      </c>
      <c r="B2" s="164" t="inlineStr">
        <is>
          <t>Element</t>
        </is>
      </c>
      <c r="C2" s="165" t="inlineStr">
        <is>
          <t>Materiaalcategorie</t>
        </is>
      </c>
      <c r="D2" s="246" t="inlineStr">
        <is>
          <t>Volume (m2)</t>
        </is>
      </c>
      <c r="E2" s="246" t="inlineStr">
        <is>
          <t xml:space="preserve">Demonteerbaarheid </t>
        </is>
      </c>
      <c r="F2" s="246" t="inlineStr">
        <is>
          <t xml:space="preserve">Materiaalconditie </t>
        </is>
      </c>
      <c r="G2" s="246" t="inlineStr">
        <is>
          <t xml:space="preserve">Marktpotentie </t>
        </is>
      </c>
      <c r="H2" s="37" t="inlineStr">
        <is>
          <t>Gem. score</t>
        </is>
      </c>
      <c r="I2" s="86" t="inlineStr">
        <is>
          <t>Geschatte recovery rate (%)</t>
        </is>
      </c>
      <c r="J2" s="37" t="inlineStr">
        <is>
          <t>Klasse</t>
        </is>
      </c>
      <c r="K2" s="78" t="inlineStr">
        <is>
          <t>Routeadvies</t>
        </is>
      </c>
      <c r="L2" s="112" t="inlineStr">
        <is>
          <t>Hoog-/laagwaardig</t>
        </is>
      </c>
      <c r="M2" s="123" t="inlineStr">
        <is>
          <t>CO2-nieuw (kg)</t>
        </is>
      </c>
      <c r="N2" s="124" t="inlineStr">
        <is>
          <t>CO2-Hergebruik (kg)</t>
        </is>
      </c>
      <c r="O2" s="124" t="inlineStr">
        <is>
          <t>CO2- recycle (kg)</t>
        </is>
      </c>
      <c r="P2" s="241" t="inlineStr">
        <is>
          <t xml:space="preserve">Transport-impact </t>
        </is>
      </c>
      <c r="Q2" s="241" t="inlineStr">
        <is>
          <t>Transport afstand (km)</t>
        </is>
      </c>
      <c r="R2" s="113" t="inlineStr">
        <is>
          <t>Totale CO2 nieuw</t>
        </is>
      </c>
      <c r="S2" s="113" t="inlineStr">
        <is>
          <t>Totale CO2 hergebruik</t>
        </is>
      </c>
      <c r="T2" s="113" t="inlineStr">
        <is>
          <t>Totale Co2 recycling</t>
        </is>
      </c>
      <c r="U2" s="113" t="inlineStr">
        <is>
          <t>Klimaatbesparing</t>
        </is>
      </c>
      <c r="V2" s="114" t="inlineStr">
        <is>
          <t>Laagste uitstoot</t>
        </is>
      </c>
      <c r="W2" s="45" t="inlineStr">
        <is>
          <t>Verkoopbaar volume (m3)</t>
        </is>
      </c>
      <c r="X2" t="inlineStr">
        <is>
          <t>Verkoopprijs aan retailer per m³</t>
        </is>
      </c>
      <c r="Y2" s="2" t="inlineStr">
        <is>
          <t>Financiële marktwaarde excl. kosten</t>
        </is>
      </c>
      <c r="Z2" s="3" t="inlineStr">
        <is>
          <t>Advies</t>
        </is>
      </c>
    </row>
    <row r="3" ht="14.75" customHeight="1">
      <c r="A3" s="22" t="n"/>
      <c r="B3" s="4" t="n"/>
      <c r="C3" s="7" t="inlineStr">
        <is>
          <t>Totaal</t>
        </is>
      </c>
      <c r="D3" s="32" t="n">
        <v>10</v>
      </c>
      <c r="E3" s="23" t="n"/>
      <c r="F3" s="23" t="n"/>
      <c r="G3" s="23" t="n"/>
      <c r="H3" s="119">
        <f>AVERAGE(H4:H7)</f>
        <v/>
      </c>
      <c r="I3" s="88">
        <f>IFERROR(ROUND(Tabel13[[#This Row],[Gem. score]]/5,2),0)</f>
        <v/>
      </c>
      <c r="J3" s="32" t="n"/>
      <c r="K3" s="162">
        <f>IF(D3="A-aluminium","Hergebruik",IF(D3="C-aluminium","Recycling",IF(H3&gt;=4,"Hergebruik","Recycling")))</f>
        <v/>
      </c>
      <c r="L3" s="111">
        <f>IF(K3&gt;=75%,"Hoogwaardig","Laagwaardig")</f>
        <v/>
      </c>
      <c r="M3" s="115" t="n">
        <v>800</v>
      </c>
      <c r="N3" s="33" t="n">
        <v>30</v>
      </c>
      <c r="O3" s="33" t="n">
        <v>90</v>
      </c>
      <c r="P3" s="34" t="n">
        <v>4</v>
      </c>
      <c r="Q3" s="35" t="n">
        <v>50</v>
      </c>
      <c r="R3" s="89">
        <f>Tabel13[[#This Row],[Volume (m2)]]*Tabel13[[#This Row],[CO2-nieuw (kg)]]+Tabel13[[#This Row],[Volume (m2)]]*Tabel13[[#This Row],[Transport-impact ]]*Tabel13[[#This Row],[Transport afstand (km)]]</f>
        <v/>
      </c>
      <c r="S3" s="74">
        <f>Tabel13[[#This Row],[Volume (m2)]]*Tabel13[[#This Row],[CO2-Hergebruik (kg)]]+Tabel13[[#This Row],[Volume (m2)]]*Tabel13[[#This Row],[Transport afstand (km)]]*Tabel13[[#This Row],[Transport-impact ]]</f>
        <v/>
      </c>
      <c r="T3" s="74">
        <f>Tabel13[[#This Row],[Volume (m2)]]*Tabel13[[#This Row],[CO2- recycle (kg)]]+Tabel13[[#This Row],[Volume (m2)]]*Tabel13[[#This Row],[Transport afstand (km)]]*Tabel13[[#This Row],[Transport-impact ]]</f>
        <v/>
      </c>
      <c r="U3" s="57">
        <f>IF(V3="hergebruik",R3-S3,IF(V3="recycling",T3-S3,""))</f>
        <v/>
      </c>
      <c r="V3" s="116">
        <f>IF(S3=MIN(R3:T3),"Hergebruik",IF(T3=MIN(R3:T3),"Recycling","Nieuw"))</f>
        <v/>
      </c>
      <c r="W3" s="100" t="n"/>
      <c r="X3" s="407">
        <f>IFERROR(VLOOKUP(#REF!,$A$19:$D$23,4,FALSE),0)</f>
        <v/>
      </c>
      <c r="Y3" s="407">
        <f>Tabel13[[#This Row],[Verkoopprijs aan retailer per m³]]*Tabel13[[#This Row],[Verkoopbaar volume (m3)]]</f>
        <v/>
      </c>
      <c r="Z3" s="18" t="n"/>
    </row>
    <row r="4" ht="14.75" customHeight="1">
      <c r="A4" s="25" t="n">
        <v>1</v>
      </c>
      <c r="B4" s="8" t="n"/>
      <c r="C4" s="166" t="inlineStr">
        <is>
          <t>Dakbedekking en dakbanen</t>
        </is>
      </c>
      <c r="D4" s="32" t="n">
        <v>10</v>
      </c>
      <c r="E4" s="8" t="n">
        <v>1</v>
      </c>
      <c r="F4" s="8" t="n">
        <v>3</v>
      </c>
      <c r="G4" s="8" t="n">
        <v>2</v>
      </c>
      <c r="H4" s="9">
        <f>IF(COUNTA(E4:G4)=0,"",AVERAGE(E4:G4))</f>
        <v/>
      </c>
      <c r="I4" s="88">
        <f>IFERROR(ROUND(Tabel13[[#This Row],[Gem. score]]/5,2),0)</f>
        <v/>
      </c>
      <c r="J4" s="11" t="n"/>
      <c r="K4" s="161">
        <f>IF(D4="A-aluminium","Hergebruik",IF(D4="C-aluminium","Recycling",IF(H4&gt;=4,"Hergebruik","Recycling")))</f>
        <v/>
      </c>
      <c r="L4" s="111">
        <f>IF(I4&gt;=75%,"Hoogwaardig","Laagwaardig")</f>
        <v/>
      </c>
      <c r="M4" s="115" t="n">
        <v>800</v>
      </c>
      <c r="N4" s="33" t="n">
        <v>30</v>
      </c>
      <c r="O4" s="33" t="n">
        <v>90</v>
      </c>
      <c r="P4" s="8" t="n">
        <v>2</v>
      </c>
      <c r="Q4" s="14" t="n">
        <v>30</v>
      </c>
      <c r="R4" s="74">
        <f>Tabel13[[#This Row],[Volume (m2)]]*Tabel13[[#This Row],[CO2-nieuw (kg)]]+Tabel13[[#This Row],[Volume (m2)]]*Tabel13[[#This Row],[Transport-impact ]]*Tabel13[[#This Row],[Transport afstand (km)]]</f>
        <v/>
      </c>
      <c r="S4" s="74">
        <f>Tabel13[[#This Row],[Volume (m2)]]*Tabel13[[#This Row],[CO2-Hergebruik (kg)]]+Tabel13[[#This Row],[Volume (m2)]]*Tabel13[[#This Row],[Transport afstand (km)]]*Tabel13[[#This Row],[Transport-impact ]]</f>
        <v/>
      </c>
      <c r="T4" s="74">
        <f>Tabel13[[#This Row],[Volume (m2)]]*Tabel13[[#This Row],[CO2- recycle (kg)]]+Tabel13[[#This Row],[Volume (m2)]]*Tabel13[[#This Row],[Transport afstand (km)]]*Tabel13[[#This Row],[Transport-impact ]]</f>
        <v/>
      </c>
      <c r="U4" s="57">
        <f>IF(V4="hergebruik",R4-S4,IF(V4="recycling",T4-S4,""))</f>
        <v/>
      </c>
      <c r="V4" s="103">
        <f>IF(S4=MIN(R4:T4),"Hergebruik",IF(T4=MIN(R4:T4),"Recycling","Nieuw"))</f>
        <v/>
      </c>
      <c r="W4" s="100">
        <f>Tabel113[[#This Row],[Volume (m3)]]*Tabel113[[#This Row],[Geschatte recovery rate (%)]]</f>
        <v/>
      </c>
      <c r="X4" s="400">
        <f>IFERROR(VLOOKUP(#REF!,$A$19:$D$23,4,FALSE),0)</f>
        <v/>
      </c>
      <c r="Y4" s="407">
        <f>Tabel13[[#This Row],[Verkoopprijs aan retailer per m³]]*Tabel13[[#This Row],[Verkoopbaar volume (m3)]]</f>
        <v/>
      </c>
      <c r="Z4" s="19" t="n"/>
    </row>
    <row r="5" ht="14.75" customHeight="1">
      <c r="A5" s="25" t="n">
        <v>2</v>
      </c>
      <c r="B5" s="8" t="n"/>
      <c r="C5" s="167" t="inlineStr">
        <is>
          <t>Afdichting en waterkering</t>
        </is>
      </c>
      <c r="D5" s="32" t="n">
        <v>10</v>
      </c>
      <c r="E5" s="8" t="n">
        <v>1</v>
      </c>
      <c r="F5" s="8" t="n">
        <v>3</v>
      </c>
      <c r="G5" s="8" t="n">
        <v>1</v>
      </c>
      <c r="H5" s="9">
        <f>IF(COUNTA(E5:G5)=0,"",AVERAGE(E5:G5))</f>
        <v/>
      </c>
      <c r="I5" s="88">
        <f>IFERROR(ROUND(Tabel13[[#This Row],[Gem. score]]/5,2),0)</f>
        <v/>
      </c>
      <c r="J5" s="11" t="n"/>
      <c r="K5" s="161">
        <f>IF(D5="A-aluminium","Hergebruik",IF(D5="C-aluminium","Recycling",IF(H5&gt;=4,"Hergebruik","Recycling")))</f>
        <v/>
      </c>
      <c r="L5" s="111">
        <f>IF(I5&gt;=75%,"Hoogwaardig","Laagwaardig")</f>
        <v/>
      </c>
      <c r="M5" s="115" t="n">
        <v>800</v>
      </c>
      <c r="N5" s="33" t="n">
        <v>30</v>
      </c>
      <c r="O5" s="33" t="n">
        <v>90</v>
      </c>
      <c r="P5" s="8" t="n">
        <v>3</v>
      </c>
      <c r="Q5" s="14" t="n">
        <v>10</v>
      </c>
      <c r="R5" s="74">
        <f>Tabel13[[#This Row],[Volume (m2)]]*Tabel13[[#This Row],[CO2-nieuw (kg)]]+Tabel13[[#This Row],[Volume (m2)]]*Tabel13[[#This Row],[Transport-impact ]]*Tabel13[[#This Row],[Transport afstand (km)]]</f>
        <v/>
      </c>
      <c r="S5" s="74">
        <f>Tabel13[[#This Row],[Volume (m2)]]*Tabel13[[#This Row],[CO2-Hergebruik (kg)]]+Tabel13[[#This Row],[Volume (m2)]]*Tabel13[[#This Row],[Transport afstand (km)]]*Tabel13[[#This Row],[Transport-impact ]]</f>
        <v/>
      </c>
      <c r="T5" s="74">
        <f>Tabel13[[#This Row],[Volume (m2)]]*Tabel13[[#This Row],[CO2- recycle (kg)]]+Tabel13[[#This Row],[Volume (m2)]]*Tabel13[[#This Row],[Transport afstand (km)]]*Tabel13[[#This Row],[Transport-impact ]]</f>
        <v/>
      </c>
      <c r="U5" s="57">
        <f>IF(V5="hergebruik",R5-S5,IF(V5="recycling",T5-S5,""))</f>
        <v/>
      </c>
      <c r="V5" s="103">
        <f>IF(S5=MIN(R5:T5),"Hergebruik",IF(T5=MIN(R5:T5),"Recycling","Nieuw"))</f>
        <v/>
      </c>
      <c r="W5" s="100">
        <f>Tabel113[[#This Row],[Volume (m3)]]*Tabel113[[#This Row],[Geschatte recovery rate (%)]]</f>
        <v/>
      </c>
      <c r="X5" s="400">
        <f>IFERROR(VLOOKUP(#REF!,$A$19:$D$23,4,FALSE),0)</f>
        <v/>
      </c>
      <c r="Y5" s="407">
        <f>Tabel13[[#This Row],[Verkoopprijs aan retailer per m³]]*Tabel13[[#This Row],[Verkoopbaar volume (m3)]]</f>
        <v/>
      </c>
      <c r="Z5" s="19" t="n"/>
    </row>
    <row r="6" ht="14.75" customHeight="1">
      <c r="A6" s="25" t="n">
        <v>3</v>
      </c>
      <c r="B6" s="8" t="n"/>
      <c r="C6" s="166" t="inlineStr">
        <is>
          <t>Dampremmende en akoestische lagen</t>
        </is>
      </c>
      <c r="D6" s="32" t="n">
        <v>10</v>
      </c>
      <c r="E6" s="15" t="n">
        <v>1</v>
      </c>
      <c r="F6" s="15" t="n">
        <v>3</v>
      </c>
      <c r="G6" s="15" t="n">
        <v>1</v>
      </c>
      <c r="H6" s="27">
        <f>IF(COUNTA(E6:G6)=0,"",AVERAGE(E6:G6))</f>
        <v/>
      </c>
      <c r="I6" s="88">
        <f>IFERROR(ROUND(Tabel13[[#This Row],[Gem. score]]/5,2),0)</f>
        <v/>
      </c>
      <c r="J6" s="11" t="n"/>
      <c r="K6" s="161">
        <f>IF(D6="A-aluminium","Hergebruik",IF(D6="C-aluminium","Recycling",IF(H6&gt;=4,"Hergebruik","Recycling")))</f>
        <v/>
      </c>
      <c r="L6" s="111">
        <f>IF(I6&gt;=75%,"Hoogwaardig","Laagwaardig")</f>
        <v/>
      </c>
      <c r="M6" s="115" t="n">
        <v>800</v>
      </c>
      <c r="N6" s="33" t="n">
        <v>30</v>
      </c>
      <c r="O6" s="33" t="n">
        <v>90</v>
      </c>
      <c r="P6" s="8" t="n">
        <v>4</v>
      </c>
      <c r="Q6" s="14" t="n">
        <v>80</v>
      </c>
      <c r="R6" s="74">
        <f>Tabel13[[#This Row],[Volume (m2)]]*Tabel13[[#This Row],[CO2-nieuw (kg)]]+Tabel13[[#This Row],[Volume (m2)]]*Tabel13[[#This Row],[Transport-impact ]]*Tabel13[[#This Row],[Transport afstand (km)]]</f>
        <v/>
      </c>
      <c r="S6" s="74">
        <f>Tabel13[[#This Row],[Volume (m2)]]*Tabel13[[#This Row],[CO2-Hergebruik (kg)]]+Tabel13[[#This Row],[Volume (m2)]]*Tabel13[[#This Row],[Transport afstand (km)]]*Tabel13[[#This Row],[Transport-impact ]]</f>
        <v/>
      </c>
      <c r="T6" s="74">
        <f>Tabel13[[#This Row],[Volume (m2)]]*Tabel13[[#This Row],[CO2- recycle (kg)]]+Tabel13[[#This Row],[Volume (m2)]]*Tabel13[[#This Row],[Transport afstand (km)]]*Tabel13[[#This Row],[Transport-impact ]]</f>
        <v/>
      </c>
      <c r="U6" s="57">
        <f>IF(V6="hergebruik",R6-S6,IF(V6="recycling",T6-S6,""))</f>
        <v/>
      </c>
      <c r="V6" s="103">
        <f>IF(S6=MIN(R6:T6),"Hergebruik",IF(T6=MIN(R6:T6),"Recycling","Nieuw"))</f>
        <v/>
      </c>
      <c r="W6" s="100">
        <f>Tabel113[[#This Row],[Volume (m3)]]*Tabel113[[#This Row],[Geschatte recovery rate (%)]]</f>
        <v/>
      </c>
      <c r="X6" s="400">
        <f>IFERROR(VLOOKUP(#REF!,$A$19:$D$23,4,FALSE),0)</f>
        <v/>
      </c>
      <c r="Y6" s="407">
        <f>Tabel13[[#This Row],[Verkoopprijs aan retailer per m³]]*Tabel13[[#This Row],[Verkoopbaar volume (m3)]]</f>
        <v/>
      </c>
      <c r="Z6" s="20" t="n"/>
    </row>
    <row r="7" ht="14.75" customHeight="1">
      <c r="A7" s="28" t="n">
        <v>4</v>
      </c>
      <c r="B7" s="8" t="n"/>
      <c r="C7" s="167" t="inlineStr">
        <is>
          <t>Bitumineuze details en gebouwproducten</t>
        </is>
      </c>
      <c r="D7" s="32" t="n">
        <v>10</v>
      </c>
      <c r="E7" s="29" t="n">
        <v>1</v>
      </c>
      <c r="F7" s="29" t="n">
        <v>2</v>
      </c>
      <c r="G7" s="29" t="n">
        <v>1</v>
      </c>
      <c r="H7" s="30">
        <f>IF(COUNTA(E7:G7)=0,"",AVERAGE(E7:G7))</f>
        <v/>
      </c>
      <c r="I7" s="88">
        <f>IFERROR(ROUND(Tabel16[[#This Row],[Gem. score]]/5,2),0)</f>
        <v/>
      </c>
      <c r="J7" s="31" t="n"/>
      <c r="K7" s="161">
        <f>IF(D7="A-aluminium","Hergebruik",IF(D7="C-aluminium","Recycling",IF(H7&gt;=4,"Hergebruik","Recycling")))</f>
        <v/>
      </c>
      <c r="L7" s="111">
        <f>IF(I7&gt;=75%,"Hoogwaardig","Laagwaardig")</f>
        <v/>
      </c>
      <c r="M7" s="115" t="n">
        <v>800</v>
      </c>
      <c r="N7" s="33" t="n">
        <v>30</v>
      </c>
      <c r="O7" s="33" t="n">
        <v>90</v>
      </c>
      <c r="P7" s="26" t="n">
        <v>1</v>
      </c>
      <c r="Q7" s="14" t="n">
        <v>20</v>
      </c>
      <c r="R7" s="74">
        <f>Tabel13[[#This Row],[Volume (m2)]]*Tabel13[[#This Row],[CO2-nieuw (kg)]]+Tabel13[[#This Row],[Volume (m2)]]*Tabel13[[#This Row],[Transport-impact ]]*Tabel13[[#This Row],[Transport afstand (km)]]</f>
        <v/>
      </c>
      <c r="S7" s="74">
        <f>Tabel13[[#This Row],[Volume (m2)]]*Tabel13[[#This Row],[CO2-Hergebruik (kg)]]+Tabel13[[#This Row],[Volume (m2)]]*Tabel13[[#This Row],[Transport afstand (km)]]*Tabel13[[#This Row],[Transport-impact ]]</f>
        <v/>
      </c>
      <c r="T7" s="74">
        <f>Tabel13[[#This Row],[Volume (m2)]]*Tabel13[[#This Row],[CO2- recycle (kg)]]+Tabel13[[#This Row],[Volume (m2)]]*Tabel13[[#This Row],[Transport afstand (km)]]*Tabel13[[#This Row],[Transport-impact ]]</f>
        <v/>
      </c>
      <c r="U7" s="57">
        <f>IF(V7="hergebruik",R7-S7,IF(V7="recycling",T7-S7,""))</f>
        <v/>
      </c>
      <c r="V7" s="106">
        <f>IF(S7=MIN(R7:T7),"Hergebruik",IF(T7=MIN(R7:T7),"Recycling","Nieuw"))</f>
        <v/>
      </c>
      <c r="W7" s="100">
        <f>Tabel113[[#This Row],[Volume (m3)]]*Tabel113[[#This Row],[Geschatte recovery rate (%)]]</f>
        <v/>
      </c>
      <c r="X7" s="400">
        <f>IFERROR(VLOOKUP(#REF!,$A$19:$D$23,4,FALSE),0)</f>
        <v/>
      </c>
      <c r="Y7" s="407">
        <f>Tabel13[[#This Row],[Verkoopprijs aan retailer per m³]]*Tabel13[[#This Row],[Verkoopbaar volume (m3)]]</f>
        <v/>
      </c>
      <c r="Z7" s="20" t="n"/>
    </row>
    <row r="8" ht="14.65" customHeight="1" thickBot="1">
      <c r="A8" s="40" t="n"/>
      <c r="B8" s="8" t="n"/>
      <c r="C8" s="8" t="n"/>
      <c r="D8" s="8" t="n"/>
      <c r="E8" s="5" t="n"/>
      <c r="F8" s="5" t="n"/>
      <c r="G8" s="5" t="n"/>
      <c r="H8" s="5" t="n"/>
      <c r="I8" s="17" t="n"/>
      <c r="J8" s="11" t="n"/>
      <c r="K8" s="5" t="n"/>
      <c r="L8" s="39" t="n"/>
      <c r="M8" s="107" t="n"/>
      <c r="N8" s="108" t="n"/>
      <c r="O8" s="108" t="n"/>
      <c r="P8" s="108" t="n"/>
      <c r="Q8" s="109" t="n"/>
      <c r="R8" s="117" t="n"/>
      <c r="S8" s="84" t="n"/>
      <c r="T8" s="118" t="n"/>
      <c r="U8" s="57" t="n"/>
      <c r="V8" s="110">
        <f>IF(S8=MIN(R8:T8),"Hergebruik",IF(T8=MIN(R8:T8),"Recycling","Nieuw"))</f>
        <v/>
      </c>
      <c r="W8" s="100">
        <f>Tabel113[[#This Row],[Volume (m3)]]*Tabel113[[#This Row],[Geschatte recovery rate (%)]]</f>
        <v/>
      </c>
      <c r="X8" s="400">
        <f>IFERROR(VLOOKUP(#REF!,$A$19:$D$23,4,FALSE),0)</f>
        <v/>
      </c>
      <c r="Y8" s="407">
        <f>Tabel13[[#This Row],[Verkoopprijs aan retailer per m³]]*Tabel13[[#This Row],[Verkoopbaar volume (m3)]]</f>
        <v/>
      </c>
      <c r="Z8" s="20" t="n"/>
    </row>
    <row r="13">
      <c r="A13" s="41" t="n"/>
      <c r="B13" s="41" t="n"/>
      <c r="C13" s="41" t="n"/>
      <c r="D13" s="41" t="n"/>
    </row>
    <row r="14">
      <c r="A14" s="51" t="n"/>
      <c r="B14" s="51" t="n"/>
      <c r="C14" s="51" t="n"/>
      <c r="D14" s="51" t="n"/>
    </row>
    <row r="15">
      <c r="A15" s="51" t="n"/>
      <c r="B15" s="51" t="n"/>
      <c r="C15" s="51" t="n"/>
      <c r="D15" s="51" t="n"/>
    </row>
    <row r="16">
      <c r="A16" s="51" t="n"/>
      <c r="B16" s="51" t="n"/>
      <c r="C16" s="51" t="n"/>
      <c r="D16" s="51" t="n"/>
    </row>
    <row r="17">
      <c r="A17" s="51" t="n"/>
      <c r="B17" s="51" t="n"/>
      <c r="C17" s="51" t="n"/>
      <c r="D17" s="51" t="n"/>
    </row>
  </sheetData>
  <mergeCells count="4">
    <mergeCell ref="A1:F1"/>
    <mergeCell ref="G1:L1"/>
    <mergeCell ref="M1:V1"/>
    <mergeCell ref="W1:Z1"/>
  </mergeCells>
  <conditionalFormatting sqref="I3:I7">
    <cfRule type="colorScale" priority="250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I8">
    <cfRule type="colorScale" priority="25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K3:K7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K8">
    <cfRule type="expression" priority="10" dxfId="2">
      <formula>K8="Hergebruik"</formula>
    </cfRule>
    <cfRule type="expression" priority="11" dxfId="1">
      <formula>K8="Recycling"</formula>
    </cfRule>
    <cfRule type="expression" priority="12" dxfId="0">
      <formula>K8="Afval"</formula>
    </cfRule>
  </conditionalFormatting>
  <conditionalFormatting sqref="L3:L7">
    <cfRule type="colorScale" priority="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Q3:Q8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sqref="E3:G8 N3:P7" showErrorMessage="1" showInputMessage="1" allowBlank="0" type="list">
      <formula1>"1,2,3,4,5"</formula1>
    </dataValidation>
    <dataValidation sqref="C3:C8 J3:J8" showErrorMessage="1" showInputMessage="1" allowBlank="0" type="list">
      <formula1>"Staal,Hout,Beton,Aluminium,Koper,Keramiek,Bitumen,Overig"</formula1>
    </dataValidation>
  </dataValidations>
  <pageMargins left="0.7" right="0.7" top="0.75" bottom="0.75" header="0.3" footer="0.3"/>
  <legacyDrawing r:id="anysvml"/>
  <tableParts count="1">
    <tablePart r:id="rId1"/>
  </tableParts>
</worksheet>
</file>

<file path=xl/worksheets/sheet2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J5"/>
  <sheetViews>
    <sheetView workbookViewId="0">
      <selection activeCell="C18" sqref="C18"/>
    </sheetView>
  </sheetViews>
  <sheetFormatPr baseColWidth="8" defaultColWidth="8.796875" defaultRowHeight="14.25"/>
  <cols>
    <col width="30" customWidth="1" style="52" min="1" max="1"/>
    <col width="44.796875" customWidth="1" style="52" min="2" max="2"/>
    <col width="47.1328125" customWidth="1" style="52" min="3" max="3"/>
    <col width="57.1328125" customWidth="1" style="52" min="4" max="4"/>
    <col width="4.1328125" customWidth="1" style="52" min="5" max="5"/>
    <col width="26.1328125" customWidth="1" style="52" min="6" max="6"/>
    <col width="40.46484375" customWidth="1" style="52" min="7" max="7"/>
    <col width="31.1328125" customWidth="1" style="52" min="8" max="8"/>
    <col width="28.1328125" customWidth="1" style="52" min="9" max="9"/>
    <col width="39.1328125" customWidth="1" style="52" min="10" max="10"/>
    <col width="8.796875" customWidth="1" style="52" min="11" max="16384"/>
  </cols>
  <sheetData>
    <row r="1">
      <c r="A1" s="56" t="inlineStr">
        <is>
          <t>Categorie</t>
        </is>
      </c>
      <c r="B1" s="56" t="inlineStr">
        <is>
          <t>Betekenis</t>
        </is>
      </c>
      <c r="C1" s="56" t="inlineStr">
        <is>
          <t>Hoe beoordelen?</t>
        </is>
      </c>
      <c r="D1" s="56" t="inlineStr">
        <is>
          <t>Voorbeelden</t>
        </is>
      </c>
      <c r="F1" s="229" t="inlineStr">
        <is>
          <t>Categorie</t>
        </is>
      </c>
      <c r="G1" s="229" t="inlineStr">
        <is>
          <t>Definitie</t>
        </is>
      </c>
      <c r="H1" s="229" t="inlineStr">
        <is>
          <t xml:space="preserve">Voorbeelden in gebouwen </t>
        </is>
      </c>
      <c r="I1" s="229" t="inlineStr">
        <is>
          <t>Bouwdelen</t>
        </is>
      </c>
      <c r="J1" s="229" t="inlineStr">
        <is>
          <t>Typische gebouwtypen</t>
        </is>
      </c>
    </row>
    <row r="2" ht="42.75" customHeight="1">
      <c r="A2" s="41" t="inlineStr">
        <is>
          <t>A-bitumen</t>
        </is>
      </c>
      <c r="B2" s="51" t="inlineStr">
        <is>
          <t>Schoon en gescheiden bitumen met zo weinig mogelijk vervuiling</t>
        </is>
      </c>
      <c r="C2" s="51" t="inlineStr">
        <is>
          <t>Hoge kans op materiaalrecycling, vooral als het los van isolatie, grind en andere daklagen vrijkomt</t>
        </is>
      </c>
      <c r="D2" s="51" t="inlineStr">
        <is>
          <t>schone bitumen dakbanen, losgekomen dakbedekking, bitumen zonder grind, bitumen zonder isolatieresten</t>
        </is>
      </c>
      <c r="F2" s="231" t="inlineStr">
        <is>
          <t>Dakbedekking en dakbanen</t>
        </is>
      </c>
      <c r="G2" s="98" t="inlineStr">
        <is>
          <t>Bitumineuze rollen, banen en membranen als dakafdichting.</t>
        </is>
      </c>
      <c r="H2" s="98" t="inlineStr">
        <is>
          <t>bitumineuze dakbaan, SBS-dakbaan, APP-dakbaan, dakleer, bitumen dakrol, dakmembraan</t>
        </is>
      </c>
      <c r="I2" s="98" t="inlineStr">
        <is>
          <t>Dak, platte daken, renovatiedaken</t>
        </is>
      </c>
      <c r="J2" s="98" t="inlineStr">
        <is>
          <t>utiliteitsbouw, appartementen, industrie, grondgebonden woningen met plat dak</t>
        </is>
      </c>
    </row>
    <row r="3" ht="42.75" customHeight="1">
      <c r="A3" s="41" t="inlineStr">
        <is>
          <t>B-bitumen</t>
        </is>
      </c>
      <c r="B3" s="51" t="inlineStr">
        <is>
          <t>Bitumen met lichte vervuiling, veroudering of resten van andere daklagen</t>
        </is>
      </c>
      <c r="C3" s="51" t="inlineStr">
        <is>
          <t>Meestal recycling of laagwaardige verwerking mogelijk, afhankelijk van vervuiling en losmaakbaarheid</t>
        </is>
      </c>
      <c r="D3" s="51" t="inlineStr">
        <is>
          <t>bitumen met lichte grindresten, oude dakbanen, licht beschadigde dakbedekking, bitumen met kleine isolatieresten</t>
        </is>
      </c>
      <c r="F3" s="231" t="inlineStr">
        <is>
          <t>Afdichting en waterkering</t>
        </is>
      </c>
      <c r="G3" s="98" t="inlineStr">
        <is>
          <t>Bitumen als vochtkering, kimafdichting of waterdichte laag.</t>
        </is>
      </c>
      <c r="H3" s="98" t="inlineStr">
        <is>
          <t>kimband, waterkering, bitumineuze afdichting, kelderafdichting, funderingsafdichting, DPC-laag</t>
        </is>
      </c>
      <c r="I3" s="98" t="inlineStr">
        <is>
          <t>Gevelvoet, kelder, fundering, natte ruimten</t>
        </is>
      </c>
      <c r="J3" s="98" t="inlineStr">
        <is>
          <t>woningbouw, utiliteitsbouw, industrie</t>
        </is>
      </c>
    </row>
    <row r="4" ht="57" customHeight="1">
      <c r="A4" s="41" t="inlineStr">
        <is>
          <t>C-bitumen</t>
        </is>
      </c>
      <c r="B4" s="51" t="inlineStr">
        <is>
          <t>Gemengd, sterk vervuild, verkleefd of moeilijk te scheiden bitumen</t>
        </is>
      </c>
      <c r="C4" s="51" t="inlineStr">
        <is>
          <t>Vooral laagwaardige verwerking of afvalroute; apart controleren op teerhoudende of schadelijke stoffen</t>
        </is>
      </c>
      <c r="D4" s="51" t="inlineStr">
        <is>
          <t>vervuilde bitumen dakbedekking, bitumen met veel isolatie, bitumen met grind, gemengde dakafvalfractie, teerhoudende dakbedekking</t>
        </is>
      </c>
      <c r="F4" s="231" t="inlineStr">
        <is>
          <t>Dampremmende en akoestische lagen</t>
        </is>
      </c>
      <c r="G4" s="98" t="inlineStr">
        <is>
          <t>Bitumineuze lagen met functie voor dampremming, geluid of onderlaag.</t>
        </is>
      </c>
      <c r="H4" s="98" t="inlineStr">
        <is>
          <t>dampremmende bitumenlaag, onderlaag, contactgeluidslaag bitumen, vloeronderlaag, akoestische mat</t>
        </is>
      </c>
      <c r="I4" s="98" t="inlineStr">
        <is>
          <t>Dakopbouw, vloeren, binnenafbouw</t>
        </is>
      </c>
      <c r="J4" s="98" t="inlineStr">
        <is>
          <t>woningbouw, appartementen, utiliteitsbouw</t>
        </is>
      </c>
    </row>
    <row r="5" ht="42.75" customHeight="1">
      <c r="A5" s="41" t="inlineStr">
        <is>
          <t>Bijzonder bitumen</t>
        </is>
      </c>
      <c r="B5" s="51" t="inlineStr">
        <is>
          <t>Dakconstructies of dakopbouwen die niet goed als standaard bitumenvolume beoordeeld kunnen worden</t>
        </is>
      </c>
      <c r="C5" s="51" t="inlineStr">
        <is>
          <t>Apart beoordelen op dakopbouw, demontage, vervuiling, aanwezigheid van grind/isolatie en mogelijke schadelijke stoffen</t>
        </is>
      </c>
      <c r="D5" s="51" t="inlineStr">
        <is>
          <t>complete dakopbouw met bitumen, bitumen op isolatie, groendak met bitumenlaag, dakranden, opstanden, kimmen, aansluitdetails</t>
        </is>
      </c>
      <c r="F5" s="231" t="inlineStr">
        <is>
          <t>Bitumineuze details en gebouwproducten</t>
        </is>
      </c>
      <c r="G5" s="98" t="inlineStr">
        <is>
          <t>Kleinere bitumineuze producten of detailtoepassingen.</t>
        </is>
      </c>
      <c r="H5" s="98" t="inlineStr">
        <is>
          <t>dakdetail afdichting, inplakstuk, bitumen shingle, bitumineuze slabbe, afdichtingsstrook, bitumencoating</t>
        </is>
      </c>
      <c r="I5" s="98" t="inlineStr">
        <is>
          <t>Dakdetails, geveldetails, aansluitingen</t>
        </is>
      </c>
      <c r="J5" s="98" t="inlineStr">
        <is>
          <t>alle gebouwtypen, vooral daken en geveldetails</t>
        </is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ColWidth="8.796875" defaultRowHeight="14.25"/>
  <cols>
    <col width="20" customWidth="1" min="1" max="1"/>
    <col width="15" customWidth="1" min="2" max="2"/>
    <col width="35" customWidth="1" min="3" max="3"/>
    <col width="35" customWidth="1" min="4" max="4"/>
  </cols>
  <sheetData>
    <row r="1">
      <c r="A1" s="405" t="inlineStr">
        <is>
          <t>Herkomst</t>
        </is>
      </c>
      <c r="B1" s="405" t="inlineStr">
        <is>
          <t>Volume (m³)</t>
        </is>
      </c>
    </row>
    <row r="2">
      <c r="A2" s="406" t="inlineStr">
        <is>
          <t>Totaal</t>
        </is>
      </c>
      <c r="B2" s="406">
        <f>SUM(B3:B11)</f>
        <v/>
      </c>
    </row>
    <row r="3">
      <c r="A3" t="inlineStr">
        <is>
          <t>Plafonds</t>
        </is>
      </c>
      <c r="B3" t="n">
        <v>0</v>
      </c>
    </row>
    <row r="4">
      <c r="A4" t="inlineStr">
        <is>
          <t>Kolommen</t>
        </is>
      </c>
      <c r="B4" t="n">
        <v>0</v>
      </c>
    </row>
    <row r="5">
      <c r="A5" t="inlineStr">
        <is>
          <t>Gevelpanelen</t>
        </is>
      </c>
      <c r="B5" t="n">
        <v>0</v>
      </c>
    </row>
    <row r="6">
      <c r="A6" t="inlineStr">
        <is>
          <t>Deuren</t>
        </is>
      </c>
      <c r="B6" t="n">
        <v>0</v>
      </c>
    </row>
    <row r="7">
      <c r="A7" t="inlineStr">
        <is>
          <t>Vloeren</t>
        </is>
      </c>
      <c r="B7" t="n">
        <v>0</v>
      </c>
    </row>
    <row r="8">
      <c r="A8" t="inlineStr">
        <is>
          <t>Daken</t>
        </is>
      </c>
      <c r="B8" t="n">
        <v>1.54</v>
      </c>
    </row>
    <row r="9">
      <c r="A9" t="inlineStr">
        <is>
          <t>Wanden</t>
        </is>
      </c>
      <c r="B9" t="n">
        <v>0.04</v>
      </c>
    </row>
    <row r="10">
      <c r="A10" t="inlineStr">
        <is>
          <t>Ramen</t>
        </is>
      </c>
      <c r="B10" t="n">
        <v>0</v>
      </c>
    </row>
    <row r="11">
      <c r="A11" t="inlineStr">
        <is>
          <t>Trappen</t>
        </is>
      </c>
      <c r="B11" t="n">
        <v>0</v>
      </c>
    </row>
    <row r="15">
      <c r="A15" s="410" t="inlineStr">
        <is>
          <t>DETAIL REGELS (bron: schedules)</t>
        </is>
      </c>
    </row>
    <row r="16">
      <c r="A16" s="405" t="inlineStr">
        <is>
          <t>Herkomst</t>
        </is>
      </c>
      <c r="B16" s="405" t="inlineStr">
        <is>
          <t>Volume</t>
        </is>
      </c>
      <c r="C16" s="405" t="inlineStr">
        <is>
          <t>Materiaal</t>
        </is>
      </c>
      <c r="D16" s="405" t="inlineStr">
        <is>
          <t>Schedule</t>
        </is>
      </c>
    </row>
    <row r="17">
      <c r="A17" t="inlineStr">
        <is>
          <t>Daken</t>
        </is>
      </c>
      <c r="B17" t="n">
        <v>1.54</v>
      </c>
      <c r="C17" t="inlineStr">
        <is>
          <t>NLRS_s9_bitumen</t>
        </is>
      </c>
      <c r="D17" t="inlineStr">
        <is>
          <t>MaterialTakeoff, roofs</t>
        </is>
      </c>
    </row>
    <row r="18">
      <c r="A18" t="inlineStr">
        <is>
          <t>Wanden</t>
        </is>
      </c>
      <c r="B18" t="n">
        <v>0.04</v>
      </c>
      <c r="C18" t="inlineStr">
        <is>
          <t>NLRS_s9_bitumen</t>
        </is>
      </c>
      <c r="D18" t="inlineStr">
        <is>
          <t>MaterialTakeoff, walls</t>
        </is>
      </c>
    </row>
  </sheetData>
  <pageMargins left="0.7" right="0.7" top="0.75" bottom="0.75" header="0.3" footer="0.3"/>
</worksheet>
</file>

<file path=xl/worksheets/sheet2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D6"/>
  <sheetViews>
    <sheetView zoomScale="71" workbookViewId="0">
      <selection activeCell="K5" sqref="K5"/>
    </sheetView>
  </sheetViews>
  <sheetFormatPr baseColWidth="8" defaultColWidth="10.796875" defaultRowHeight="14.25"/>
  <cols>
    <col width="10.796875" customWidth="1" style="98" min="1" max="1"/>
    <col width="13.796875" customWidth="1" style="98" min="2" max="2"/>
    <col width="21.1328125" customWidth="1" style="98" min="3" max="3"/>
    <col width="25" customWidth="1" style="98" min="4" max="4"/>
    <col width="19" customWidth="1" style="98" min="5" max="5"/>
    <col width="18.46484375" customWidth="1" style="98" min="6" max="6"/>
    <col width="19.1328125" customWidth="1" style="98" min="7" max="7"/>
    <col width="20.796875" customWidth="1" style="98" min="8" max="8"/>
    <col width="15.1328125" customWidth="1" style="98" min="9" max="9"/>
    <col width="13.796875" customWidth="1" style="98" min="10" max="10"/>
    <col width="14.796875" customWidth="1" style="98" min="11" max="12"/>
    <col width="14.1328125" customWidth="1" style="98" min="13" max="13"/>
    <col width="20" customWidth="1" style="98" min="14" max="14"/>
    <col width="15.46484375" customWidth="1" style="98" min="15" max="15"/>
    <col width="17.1328125" customWidth="1" style="98" min="16" max="16"/>
    <col width="27.796875" customWidth="1" style="98" min="17" max="17"/>
    <col width="18.46484375" customWidth="1" style="98" min="18" max="18"/>
    <col width="19.1328125" customWidth="1" style="98" min="19" max="20"/>
    <col width="18.1328125" customWidth="1" style="98" min="21" max="21"/>
    <col width="18.796875" customWidth="1" style="98" min="22" max="22"/>
    <col width="13.1328125" customWidth="1" style="98" min="23" max="23"/>
    <col width="17.1328125" customWidth="1" style="98" min="24" max="24"/>
    <col width="19.1328125" customWidth="1" style="98" min="25" max="25"/>
    <col width="17" customWidth="1" style="98" min="26" max="26"/>
    <col width="13.796875" customWidth="1" style="98" min="27" max="27"/>
    <col width="16.46484375" customWidth="1" style="98" min="28" max="28"/>
    <col width="17.796875" customWidth="1" style="98" min="29" max="29"/>
    <col width="18.796875" customWidth="1" style="98" min="30" max="30"/>
    <col width="10.796875" customWidth="1" style="98" min="31" max="16384"/>
  </cols>
  <sheetData>
    <row r="1" ht="28.5" customHeight="1">
      <c r="A1" s="94" t="inlineStr">
        <is>
          <t>Categorie</t>
        </is>
      </c>
      <c r="B1" s="94" t="inlineStr">
        <is>
          <t>Betekenis</t>
        </is>
      </c>
      <c r="C1" s="94" t="inlineStr">
        <is>
          <t>Hoe beoordelen?</t>
        </is>
      </c>
      <c r="D1" s="94" t="inlineStr">
        <is>
          <t>Voorbeelden</t>
        </is>
      </c>
      <c r="E1" s="94" t="n"/>
      <c r="F1" s="95" t="inlineStr">
        <is>
          <t>Categorie</t>
        </is>
      </c>
      <c r="G1" s="96" t="inlineStr">
        <is>
          <t>Betekenis</t>
        </is>
      </c>
      <c r="H1" s="96" t="inlineStr">
        <is>
          <t>Hoe beoordelen?</t>
        </is>
      </c>
      <c r="I1" s="97" t="inlineStr">
        <is>
          <t>Voorbeelden</t>
        </is>
      </c>
      <c r="J1" s="42" t="n"/>
      <c r="K1" s="94" t="inlineStr">
        <is>
          <t>Categorie</t>
        </is>
      </c>
      <c r="L1" s="94" t="inlineStr">
        <is>
          <t>Betekenis</t>
        </is>
      </c>
      <c r="M1" s="94" t="inlineStr">
        <is>
          <t>Hoe beoordelen?</t>
        </is>
      </c>
      <c r="N1" s="94" t="inlineStr">
        <is>
          <t>Voorbeelden</t>
        </is>
      </c>
      <c r="O1" s="42" t="n"/>
      <c r="P1" s="94" t="inlineStr">
        <is>
          <t>Categorie</t>
        </is>
      </c>
      <c r="Q1" s="94" t="inlineStr">
        <is>
          <t>Betekenis</t>
        </is>
      </c>
      <c r="R1" s="94" t="inlineStr">
        <is>
          <t>Hoe beoordelen?</t>
        </is>
      </c>
      <c r="S1" s="94" t="inlineStr">
        <is>
          <t>Categorie voor metaalhandelaar</t>
        </is>
      </c>
      <c r="T1" s="94" t="inlineStr">
        <is>
          <t>Voorbeelden</t>
        </is>
      </c>
      <c r="U1" s="42" t="n"/>
      <c r="V1" s="94" t="inlineStr">
        <is>
          <t>Categorie</t>
        </is>
      </c>
      <c r="W1" s="94" t="inlineStr">
        <is>
          <t>Betekenis</t>
        </is>
      </c>
      <c r="X1" s="94" t="inlineStr">
        <is>
          <t>Hoe beoordelen?</t>
        </is>
      </c>
      <c r="Y1" s="94" t="inlineStr">
        <is>
          <t>Voorbeelden</t>
        </is>
      </c>
      <c r="AA1" s="94" t="inlineStr">
        <is>
          <t>Categorie</t>
        </is>
      </c>
      <c r="AB1" s="94" t="inlineStr">
        <is>
          <t>Betekenis</t>
        </is>
      </c>
      <c r="AC1" s="94" t="inlineStr">
        <is>
          <t>Hoe beoordelen?</t>
        </is>
      </c>
      <c r="AD1" s="94" t="inlineStr">
        <is>
          <t>Voorbeelden</t>
        </is>
      </c>
    </row>
    <row r="2" ht="99.75" customHeight="1">
      <c r="A2" s="43" t="inlineStr">
        <is>
          <t>A-hout</t>
        </is>
      </c>
      <c r="B2" s="43" t="inlineStr">
        <is>
          <t>Schoon, onbehandeld en kwalitatief goed hout</t>
        </is>
      </c>
      <c r="C2" s="43" t="inlineStr">
        <is>
          <t>Hoge kans op hergebruik of hoogwaardige recycling</t>
        </is>
      </c>
      <c r="D2" s="43" t="inlineStr">
        <is>
          <t>massieve houten balken, onbehandelde planken, schoon constructiehout, houten regels</t>
        </is>
      </c>
      <c r="E2" s="42" t="n"/>
      <c r="F2" s="90" t="inlineStr">
        <is>
          <t>A-staal</t>
        </is>
      </c>
      <c r="G2" s="72" t="inlineStr">
        <is>
          <t>Schoon staal met hoge kwaliteit</t>
        </is>
      </c>
      <c r="H2" s="72" t="inlineStr">
        <is>
          <t>Hoge kans op hoogwaardig hergebruik of recycling</t>
        </is>
      </c>
      <c r="I2" s="91" t="inlineStr">
        <is>
          <t>nette stalen dakplaten, profielplaten, stalen bekleding, schone staalplaten</t>
        </is>
      </c>
      <c r="J2" s="42" t="n"/>
      <c r="K2" s="77" t="inlineStr">
        <is>
          <t>A-beton</t>
        </is>
      </c>
      <c r="L2" s="77" t="inlineStr">
        <is>
          <t>Schoon beton of goed demontabel betonelement met duidelijke kwaliteit</t>
        </is>
      </c>
      <c r="M2" s="77" t="inlineStr">
        <is>
          <t>Kans op hergebruik als element of hoogwaardige recycling als betongranulaat</t>
        </is>
      </c>
      <c r="N2" s="77" t="inlineStr">
        <is>
          <t>prefab betonplaten, betonnen liggers, betonnen traptreden, schone betonelementen</t>
        </is>
      </c>
      <c r="O2" s="43" t="n"/>
      <c r="P2" s="43" t="inlineStr">
        <is>
          <t>A-koper</t>
        </is>
      </c>
      <c r="Q2" s="43" t="inlineStr">
        <is>
          <t>Schoon, zuiver en goed gescheiden koper</t>
        </is>
      </c>
      <c r="R2" s="43" t="inlineStr">
        <is>
          <t>Hoge kans op hoogwaardige recycling of direct hergebruik bij intacte onderdelen</t>
        </is>
      </c>
      <c r="S2" s="43" t="inlineStr">
        <is>
          <t>Rood koper</t>
        </is>
      </c>
      <c r="T2" s="43" t="inlineStr">
        <is>
          <t>schone koperen leidingen, koperen buizen, blank koper, koperen dakgoten</t>
        </is>
      </c>
      <c r="U2" s="43" t="n"/>
      <c r="V2" s="43" t="inlineStr">
        <is>
          <t>A-aluminium</t>
        </is>
      </c>
      <c r="W2" s="43" t="inlineStr">
        <is>
          <t>Schoon, goed gescheiden aluminium met hoge materiaalwaarde</t>
        </is>
      </c>
      <c r="X2" s="43" t="inlineStr">
        <is>
          <t>Hoge kans op hoogwaardige recycling of hergebruik als element</t>
        </is>
      </c>
      <c r="Y2" s="43" t="inlineStr">
        <is>
          <t>aluminium kozijnen, aluminium gevelbekleding, aluminium profielen, aluminium daktrimmen</t>
        </is>
      </c>
      <c r="AA2" s="43" t="inlineStr">
        <is>
          <t>A-bitumen</t>
        </is>
      </c>
      <c r="AB2" s="43" t="inlineStr">
        <is>
          <t>Schoon en gescheiden bitumen met zo weinig mogelijk vervuiling</t>
        </is>
      </c>
      <c r="AC2" s="43" t="inlineStr">
        <is>
          <t>Hoge kans op materiaalrecycling, vooral als het los van isolatie, grind en andere daklagen vrijkomt</t>
        </is>
      </c>
      <c r="AD2" s="43" t="inlineStr">
        <is>
          <t>schone bitumen dakbanen, losgekomen dakbedekking, bitumen zonder grind, bitumen zonder isolatieresten</t>
        </is>
      </c>
    </row>
    <row r="3" ht="99.75" customHeight="1">
      <c r="A3" s="43" t="inlineStr">
        <is>
          <t>B-hout</t>
        </is>
      </c>
      <c r="B3" s="43" t="inlineStr">
        <is>
          <t>Behandeld, geverfd, gelakt of licht beschadigd hout</t>
        </is>
      </c>
      <c r="C3" s="43" t="inlineStr">
        <is>
          <t>Soms hergebruik mogelijk, meestal recycling/downcycling</t>
        </is>
      </c>
      <c r="D3" s="43" t="inlineStr">
        <is>
          <t>houten kozijnen, geverfde planken, houten deuren, plaatmateriaal, multiplex, underlayment</t>
        </is>
      </c>
      <c r="E3" s="42" t="n"/>
      <c r="F3" s="92" t="inlineStr">
        <is>
          <t>B-staal</t>
        </is>
      </c>
      <c r="G3" s="73" t="inlineStr">
        <is>
          <t>Evt lichte schade, coating, vervuiling of minder hergebruikwaarde</t>
        </is>
      </c>
      <c r="H3" s="73" t="inlineStr">
        <is>
          <t>Meestal recycling, soms hergebruik mogelijk</t>
        </is>
      </c>
      <c r="I3" s="93" t="inlineStr">
        <is>
          <t>metal stud, stalen stijl- en regelwerk, lichte profielen, bevestigingsprofielen</t>
        </is>
      </c>
      <c r="J3" s="42" t="n"/>
      <c r="K3" s="77" t="inlineStr">
        <is>
          <t>B-beton</t>
        </is>
      </c>
      <c r="L3" s="77" t="inlineStr">
        <is>
          <t>Beton met lichte wapening, vervuiling of beperkte schade</t>
        </is>
      </c>
      <c r="M3" s="77" t="inlineStr">
        <is>
          <t>Meestal recycling als granulaat; hergebruik alleen bij demontabele elementen</t>
        </is>
      </c>
      <c r="N3" s="77" t="inlineStr">
        <is>
          <t>gewapende betonvloer, betonnen wand, betonnen balk, betonnen kolom</t>
        </is>
      </c>
      <c r="O3" s="43" t="n"/>
      <c r="P3" s="43" t="inlineStr">
        <is>
          <t>B-koper</t>
        </is>
      </c>
      <c r="Q3" s="43" t="inlineStr">
        <is>
          <t>Koper met lichte vervuiling, coating, soldeerresten of isolatie</t>
        </is>
      </c>
      <c r="R3" s="43" t="inlineStr">
        <is>
          <t>Meestal recycling, soms hergebruik mogelijk als het element intact is</t>
        </is>
      </c>
      <c r="S3" s="43" t="n"/>
      <c r="T3" s="43" t="inlineStr">
        <is>
          <t>geïsoleerde koperdraad, licht vervuilde leidingen, koperen fittingen, kabelresten</t>
        </is>
      </c>
      <c r="U3" s="43" t="n"/>
      <c r="V3" s="43" t="inlineStr">
        <is>
          <t>B-aluminium</t>
        </is>
      </c>
      <c r="W3" s="43" t="inlineStr">
        <is>
          <t>Aluminium met lichte schade, coating, vervuiling of bevestigingsresten</t>
        </is>
      </c>
      <c r="X3" s="43" t="inlineStr">
        <is>
          <t>Meestal recycling, soms hergebruik mogelijk</t>
        </is>
      </c>
      <c r="Y3" s="43" t="inlineStr">
        <is>
          <t>gecoate aluminium profielen, beschadigde kozijnen, ventilatieroosters, aluminium systeemwandprofielen</t>
        </is>
      </c>
      <c r="AA3" s="43" t="inlineStr">
        <is>
          <t>B-bitumen</t>
        </is>
      </c>
      <c r="AB3" s="43" t="inlineStr">
        <is>
          <t>Bitumen met lichte vervuiling, veroudering of resten van andere daklagen</t>
        </is>
      </c>
      <c r="AC3" s="43" t="inlineStr">
        <is>
          <t>Meestal recycling of laagwaardige verwerking mogelijk, afhankelijk van vervuiling en losmaakbaarheid</t>
        </is>
      </c>
      <c r="AD3" s="43" t="inlineStr">
        <is>
          <t>bitumen met lichte grindresten, oude dakbanen, licht beschadigde dakbedekking, bitumen met kleine isolatieresten</t>
        </is>
      </c>
    </row>
    <row r="4" ht="114" customHeight="1">
      <c r="A4" s="43" t="inlineStr">
        <is>
          <t>C-hout</t>
        </is>
      </c>
      <c r="B4" s="43" t="inlineStr">
        <is>
          <t>Sterk behandeld, geïmpregneerd, vervuild of moeilijk herbruikbaar hout</t>
        </is>
      </c>
      <c r="C4" s="43" t="inlineStr">
        <is>
          <t>Meestal laagwaardige verwerking of afvalroute; voorzichtig beoordelen door mogelijke schadelijke stoffen</t>
        </is>
      </c>
      <c r="D4" s="43" t="inlineStr">
        <is>
          <t>geïmpregneerd hout, verrot hout, vervuild sloophout, hout met lijm- of kitresten</t>
        </is>
      </c>
      <c r="E4" s="42" t="n"/>
      <c r="F4" s="90" t="inlineStr">
        <is>
          <t>C-staal</t>
        </is>
      </c>
      <c r="G4" s="72" t="inlineStr">
        <is>
          <t>Gemengd, beschadigd, vervuild of moeilijk herbruikbaar staal</t>
        </is>
      </c>
      <c r="H4" s="72" t="inlineStr">
        <is>
          <t>Vooral geschikt voor recycling als schroot</t>
        </is>
      </c>
      <c r="I4" s="91" t="inlineStr">
        <is>
          <t>gemengde staalfractie, verroest staal, reststukken, staal met onbekende herkomst</t>
        </is>
      </c>
      <c r="J4" s="42" t="n"/>
      <c r="K4" s="77" t="inlineStr">
        <is>
          <t>C-beton</t>
        </is>
      </c>
      <c r="L4" s="77" t="inlineStr">
        <is>
          <t>Gemengd, gebroken, vervuild of moeilijk scheidbaar beton</t>
        </is>
      </c>
      <c r="M4" s="77" t="inlineStr">
        <is>
          <t>Vooral geschikt voor laagwaardige recycling/downcycling</t>
        </is>
      </c>
      <c r="N4" s="77" t="inlineStr">
        <is>
          <t>betonpuin, gemengd steenachtig puin, vervuild beton, beton met lijm-, tegel- of afwerkresten</t>
        </is>
      </c>
      <c r="O4" s="43" t="n"/>
      <c r="P4" s="43" t="inlineStr">
        <is>
          <t>C-koper</t>
        </is>
      </c>
      <c r="Q4" s="43" t="inlineStr">
        <is>
          <t>Gemengd, sterk vervuild of moeilijk te scheiden koper</t>
        </is>
      </c>
      <c r="R4" s="43" t="inlineStr">
        <is>
          <t>Vooral geschikt voor recycling na scheiding; lagere waarde door vervuiling</t>
        </is>
      </c>
      <c r="S4" s="43" t="n"/>
      <c r="T4" s="43" t="inlineStr">
        <is>
          <t>gemengde kabelfractie, koper met kunststofresten, koper uit installaties, vervuilde leidingdelen</t>
        </is>
      </c>
      <c r="U4" s="43" t="n"/>
      <c r="V4" s="43" t="inlineStr">
        <is>
          <t>C-aluminium</t>
        </is>
      </c>
      <c r="W4" s="43" t="inlineStr">
        <is>
          <t>Gemengd, vervuild of samengesteld aluminium dat moeilijk te scheiden is</t>
        </is>
      </c>
      <c r="X4" s="43" t="inlineStr">
        <is>
          <t>Vooral geschikt voor recycling na scheiding; lagere waarde door vervuiling</t>
        </is>
      </c>
      <c r="Y4" s="43" t="inlineStr">
        <is>
          <t>gemengde aluminiumfractie, aluminium met kunststof, samengestelde gevelpanelen, vervuilde profielen</t>
        </is>
      </c>
      <c r="AA4" s="43" t="inlineStr">
        <is>
          <t>C-bitumen</t>
        </is>
      </c>
      <c r="AB4" s="43" t="inlineStr">
        <is>
          <t>Gemengd, sterk vervuild, verkleefd of moeilijk te scheiden bitumen</t>
        </is>
      </c>
      <c r="AC4" s="43" t="inlineStr">
        <is>
          <t>Vooral laagwaardige verwerking of afvalroute; apart controleren op teerhoudende of schadelijke stoffen</t>
        </is>
      </c>
      <c r="AD4" s="43" t="inlineStr">
        <is>
          <t>vervuilde bitumen dakbedekking, bitumen met veel isolatie, bitumen met grind, gemengde dakafvalfractie, teerhoudende dakbedekking</t>
        </is>
      </c>
    </row>
    <row r="5" ht="128.25" customHeight="1">
      <c r="A5" s="43" t="inlineStr">
        <is>
          <t>Bijzonder hout</t>
        </is>
      </c>
      <c r="B5" s="43" t="inlineStr">
        <is>
          <t>Houten constructies of bouwelementen die niet goed als standaard houtvolume beoordeeld kunnen worden</t>
        </is>
      </c>
      <c r="C5" s="43" t="inlineStr">
        <is>
          <t>Apart beoordelen op functie, maatvoering, conditie, demontage en hergebruikspotentie</t>
        </is>
      </c>
      <c r="D5" s="43" t="inlineStr">
        <is>
          <t>houten trappen, dakkapellen, houten dakconstructies, complete houten vloeren, houten gevelsystemen</t>
        </is>
      </c>
      <c r="E5" s="42" t="n"/>
      <c r="F5" s="92" t="inlineStr">
        <is>
          <t>Bijzonder staal</t>
        </is>
      </c>
      <c r="G5" s="73" t="inlineStr">
        <is>
          <t>Stalen constructies of bouwelementen die niet goed als standaard staalvolume beoordeeld kunnen worden</t>
        </is>
      </c>
      <c r="H5" s="73" t="inlineStr">
        <is>
          <t>Apart beoordelen op functie, maatvoering, conditie, demontage en hergebruikspotentie</t>
        </is>
      </c>
      <c r="I5" s="93" t="inlineStr">
        <is>
          <t>stalen kolommen, balken, liggers, buisstaalconstructies, stalen kozijnen, trappen, hekwerken, leuningen</t>
        </is>
      </c>
      <c r="J5" s="42" t="n"/>
      <c r="K5" s="77" t="inlineStr">
        <is>
          <t>Bijzonder beton</t>
        </is>
      </c>
      <c r="L5" s="77" t="inlineStr">
        <is>
          <t>Betonnen constructies of elementen die niet goed als standaard betonvolume beoordeeld kunnen worden</t>
        </is>
      </c>
      <c r="M5" s="77" t="inlineStr">
        <is>
          <t>Apart beoordelen op functie, wapening, maatvoering, demontage, schade en transporteerbaarheid</t>
        </is>
      </c>
      <c r="N5" s="77" t="inlineStr">
        <is>
          <t>funderingen, heipalen, prefab gevelelementen, kanaalplaatvloeren, breedplaatvloeren, betontrappen</t>
        </is>
      </c>
      <c r="O5" s="43" t="n"/>
      <c r="P5" s="43" t="inlineStr">
        <is>
          <t>Bijzonder koper</t>
        </is>
      </c>
      <c r="Q5" s="43" t="inlineStr">
        <is>
          <t>Koperen onderdelen of installaties die niet goed als standaard kopervolume beoordeeld kunnen worden</t>
        </is>
      </c>
      <c r="R5" s="43" t="inlineStr">
        <is>
          <t>Apart beoordelen op functie, bereikbaarheid, demontage, conditie en marktwaarde</t>
        </is>
      </c>
      <c r="S5" s="43" t="n"/>
      <c r="T5" s="43" t="inlineStr">
        <is>
          <t>complete leidingnetten, elektrische installaties, verdeelkasten met koper, koperen dakdetails, bliksemafleiding</t>
        </is>
      </c>
      <c r="U5" s="43" t="n"/>
      <c r="V5" s="43" t="inlineStr">
        <is>
          <t>Bijzonder aluminium</t>
        </is>
      </c>
      <c r="W5" s="43" t="inlineStr">
        <is>
          <t>Aluminium systemen of bouwelementen die niet goed als standaard aluminiumvolume beoordeeld kunnen worden</t>
        </is>
      </c>
      <c r="X5" s="43" t="inlineStr">
        <is>
          <t>Apart beoordelen op functie, maatvoering, demontage, conditie en hergebruikspotentie</t>
        </is>
      </c>
      <c r="Y5" s="43" t="inlineStr">
        <is>
          <t>vliesgevels, complete kozijnsystemen, zonwering, aluminium deuren, gevelsystemen, dakrandsystemen</t>
        </is>
      </c>
      <c r="AA5" s="43" t="inlineStr">
        <is>
          <t>Bijzonder bitumen</t>
        </is>
      </c>
      <c r="AB5" s="43" t="inlineStr">
        <is>
          <t>Dakconstructies of dakopbouwen die niet goed als standaard bitumenvolume beoordeeld kunnen worden</t>
        </is>
      </c>
      <c r="AC5" s="43" t="inlineStr">
        <is>
          <t>Apart beoordelen op dakopbouw, demontage, vervuiling, aanwezigheid van grind/isolatie en mogelijke schadelijke stoffen</t>
        </is>
      </c>
      <c r="AD5" s="43" t="inlineStr">
        <is>
          <t>complete dakopbouw met bitumen, bitumen op isolatie, groendak met bitumenlaag, dakranden, opstanden, kimmen, aansluitdetails</t>
        </is>
      </c>
    </row>
    <row r="6">
      <c r="F6" s="90" t="n"/>
      <c r="G6" s="72" t="n"/>
      <c r="H6" s="72" t="n"/>
      <c r="I6" s="91" t="n"/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35" customWidth="1" min="3" max="3"/>
    <col width="35" customWidth="1" min="4" max="4"/>
  </cols>
  <sheetData>
    <row r="1">
      <c r="A1" s="405" t="inlineStr">
        <is>
          <t>Herkomst</t>
        </is>
      </c>
      <c r="B1" s="405" t="inlineStr">
        <is>
          <t>Volume (m³)</t>
        </is>
      </c>
    </row>
    <row r="2">
      <c r="A2" s="406" t="inlineStr">
        <is>
          <t>Totaal</t>
        </is>
      </c>
      <c r="B2" s="406">
        <f>SUM(B3:B11)</f>
        <v/>
      </c>
    </row>
    <row r="3">
      <c r="A3" t="inlineStr">
        <is>
          <t>Plafonds</t>
        </is>
      </c>
      <c r="B3" t="n">
        <v>0</v>
      </c>
    </row>
    <row r="4">
      <c r="A4" t="inlineStr">
        <is>
          <t>Kolommen</t>
        </is>
      </c>
      <c r="B4" t="n">
        <v>0</v>
      </c>
    </row>
    <row r="5">
      <c r="A5" t="inlineStr">
        <is>
          <t>Gevelpanelen</t>
        </is>
      </c>
      <c r="B5" t="n">
        <v>0</v>
      </c>
    </row>
    <row r="6">
      <c r="A6" t="inlineStr">
        <is>
          <t>Deuren</t>
        </is>
      </c>
      <c r="B6" t="n">
        <v>0</v>
      </c>
    </row>
    <row r="7">
      <c r="A7" t="inlineStr">
        <is>
          <t>Vloeren</t>
        </is>
      </c>
      <c r="B7" t="n">
        <v>11.9</v>
      </c>
    </row>
    <row r="8">
      <c r="A8" t="inlineStr">
        <is>
          <t>Daken</t>
        </is>
      </c>
      <c r="B8" t="n">
        <v>223.59</v>
      </c>
    </row>
    <row r="9">
      <c r="A9" t="inlineStr">
        <is>
          <t>Wanden</t>
        </is>
      </c>
      <c r="B9" t="n">
        <v>157.1</v>
      </c>
    </row>
    <row r="10">
      <c r="A10" t="inlineStr">
        <is>
          <t>Ramen</t>
        </is>
      </c>
      <c r="B10" t="n">
        <v>0</v>
      </c>
    </row>
    <row r="11">
      <c r="A11" t="inlineStr">
        <is>
          <t>Trappen</t>
        </is>
      </c>
      <c r="B11" t="n">
        <v>0</v>
      </c>
    </row>
    <row r="15">
      <c r="A15" s="410" t="inlineStr">
        <is>
          <t>DETAIL REGELS (bron: schedules)</t>
        </is>
      </c>
    </row>
    <row r="16">
      <c r="A16" s="405" t="inlineStr">
        <is>
          <t>Herkomst</t>
        </is>
      </c>
      <c r="B16" s="405" t="inlineStr">
        <is>
          <t>Volume</t>
        </is>
      </c>
      <c r="C16" s="405" t="inlineStr">
        <is>
          <t>Materiaal</t>
        </is>
      </c>
      <c r="D16" s="405" t="inlineStr">
        <is>
          <t>Schedule</t>
        </is>
      </c>
    </row>
    <row r="17">
      <c r="A17" t="inlineStr">
        <is>
          <t>Vloeren</t>
        </is>
      </c>
      <c r="B17" t="n">
        <v>11.9</v>
      </c>
      <c r="C17" t="inlineStr">
        <is>
          <t>EPS wit</t>
        </is>
      </c>
      <c r="D17" t="inlineStr">
        <is>
          <t>MaterialTakeoff, floor</t>
        </is>
      </c>
    </row>
    <row r="18">
      <c r="A18" t="inlineStr">
        <is>
          <t>Daken</t>
        </is>
      </c>
      <c r="B18" t="n">
        <v>223.59</v>
      </c>
      <c r="C18" t="inlineStr">
        <is>
          <t>NLRS_n7_isolatie_EPS</t>
        </is>
      </c>
      <c r="D18" t="inlineStr">
        <is>
          <t>MaterialTakeoff, roofs</t>
        </is>
      </c>
    </row>
    <row r="19">
      <c r="A19" t="inlineStr">
        <is>
          <t>Wanden</t>
        </is>
      </c>
      <c r="B19" t="n">
        <v>157.1</v>
      </c>
      <c r="C19" t="inlineStr">
        <is>
          <t>NLRS_m1_isolatie_glaswol</t>
        </is>
      </c>
      <c r="D19" t="inlineStr">
        <is>
          <t>MaterialTakeoff, walls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35" customWidth="1" min="3" max="3"/>
    <col width="35" customWidth="1" min="4" max="4"/>
  </cols>
  <sheetData>
    <row r="1">
      <c r="A1" s="405" t="inlineStr">
        <is>
          <t>Herkomst</t>
        </is>
      </c>
      <c r="B1" s="405" t="inlineStr">
        <is>
          <t>Volume (m³)</t>
        </is>
      </c>
    </row>
    <row r="2">
      <c r="A2" s="406" t="inlineStr">
        <is>
          <t>Totaal</t>
        </is>
      </c>
      <c r="B2" s="406">
        <f>SUM(B3:B11)</f>
        <v/>
      </c>
    </row>
    <row r="3">
      <c r="A3" t="inlineStr">
        <is>
          <t>Plafonds</t>
        </is>
      </c>
      <c r="B3" t="n">
        <v>0</v>
      </c>
    </row>
    <row r="4">
      <c r="A4" t="inlineStr">
        <is>
          <t>Kolommen</t>
        </is>
      </c>
      <c r="B4" t="n">
        <v>0</v>
      </c>
    </row>
    <row r="5">
      <c r="A5" t="inlineStr">
        <is>
          <t>Gevelpanelen</t>
        </is>
      </c>
      <c r="B5" t="n">
        <v>0</v>
      </c>
    </row>
    <row r="6">
      <c r="A6" t="inlineStr">
        <is>
          <t>Deuren</t>
        </is>
      </c>
      <c r="B6" t="n">
        <v>0</v>
      </c>
    </row>
    <row r="7">
      <c r="A7" t="inlineStr">
        <is>
          <t>Vloeren</t>
        </is>
      </c>
      <c r="B7" t="n">
        <v>0.8100000000000001</v>
      </c>
    </row>
    <row r="8">
      <c r="A8" t="inlineStr">
        <is>
          <t>Daken</t>
        </is>
      </c>
      <c r="B8" t="n">
        <v>0</v>
      </c>
    </row>
    <row r="9">
      <c r="A9" t="inlineStr">
        <is>
          <t>Wanden</t>
        </is>
      </c>
      <c r="B9" t="n">
        <v>145.79</v>
      </c>
    </row>
    <row r="10">
      <c r="A10" t="inlineStr">
        <is>
          <t>Ramen</t>
        </is>
      </c>
      <c r="B10" t="n">
        <v>0</v>
      </c>
    </row>
    <row r="11">
      <c r="A11" t="inlineStr">
        <is>
          <t>Trappen</t>
        </is>
      </c>
      <c r="B11" t="n">
        <v>0</v>
      </c>
    </row>
    <row r="15">
      <c r="A15" s="410" t="inlineStr">
        <is>
          <t>DETAIL REGELS (bron: schedules)</t>
        </is>
      </c>
    </row>
    <row r="16">
      <c r="A16" s="405" t="inlineStr">
        <is>
          <t>Herkomst</t>
        </is>
      </c>
      <c r="B16" s="405" t="inlineStr">
        <is>
          <t>Volume</t>
        </is>
      </c>
      <c r="C16" s="405" t="inlineStr">
        <is>
          <t>Materiaal</t>
        </is>
      </c>
      <c r="D16" s="405" t="inlineStr">
        <is>
          <t>Schedule</t>
        </is>
      </c>
    </row>
    <row r="17">
      <c r="A17" t="inlineStr">
        <is>
          <t>Vloeren</t>
        </is>
      </c>
      <c r="B17" t="n">
        <v>0.8100000000000001</v>
      </c>
      <c r="C17" t="inlineStr">
        <is>
          <t>Tegels_keramisch_300x300_creme</t>
        </is>
      </c>
      <c r="D17" t="inlineStr">
        <is>
          <t>MaterialTakeoff, floor</t>
        </is>
      </c>
    </row>
    <row r="18">
      <c r="A18" t="inlineStr">
        <is>
          <t>Wanden</t>
        </is>
      </c>
      <c r="B18" t="n">
        <v>4.93</v>
      </c>
      <c r="C18" t="inlineStr">
        <is>
          <t>NLRS_f1_kalkzandsteen_CS12</t>
        </is>
      </c>
      <c r="D18" t="inlineStr">
        <is>
          <t>MaterialTakeoff, walls</t>
        </is>
      </c>
    </row>
    <row r="19">
      <c r="A19" t="inlineStr">
        <is>
          <t>Wanden</t>
        </is>
      </c>
      <c r="B19" t="n">
        <v>30.88</v>
      </c>
      <c r="C19" t="inlineStr">
        <is>
          <t>NLRS_g2_mw Rodurza Jeker  wf halfsteens</t>
        </is>
      </c>
      <c r="D19" t="inlineStr">
        <is>
          <t>MaterialTakeoff, walls</t>
        </is>
      </c>
    </row>
    <row r="20">
      <c r="A20" t="inlineStr">
        <is>
          <t>Wanden</t>
        </is>
      </c>
      <c r="B20" t="n">
        <v>0.02</v>
      </c>
      <c r="C20" t="inlineStr">
        <is>
          <t>NLRS_g2_mw Rodurza Jeker  wf koppenverband</t>
        </is>
      </c>
      <c r="D20" t="inlineStr">
        <is>
          <t>MaterialTakeoff, walls</t>
        </is>
      </c>
    </row>
    <row r="21">
      <c r="A21" t="inlineStr">
        <is>
          <t>Wanden</t>
        </is>
      </c>
      <c r="B21" t="n">
        <v>4.15</v>
      </c>
      <c r="C21" t="inlineStr">
        <is>
          <t>NLRS_g2_mw Rodurza Jeker  wf tegel</t>
        </is>
      </c>
      <c r="D21" t="inlineStr">
        <is>
          <t>MaterialTakeoff, walls</t>
        </is>
      </c>
    </row>
    <row r="22">
      <c r="A22" t="inlineStr">
        <is>
          <t>Wanden</t>
        </is>
      </c>
      <c r="B22" t="n">
        <v>39.59</v>
      </c>
      <c r="C22" t="inlineStr">
        <is>
          <t>NLRS_g2_mw Rodurza Maas wf halfsteens</t>
        </is>
      </c>
      <c r="D22" t="inlineStr">
        <is>
          <t>MaterialTakeoff, walls</t>
        </is>
      </c>
    </row>
    <row r="23">
      <c r="A23" t="inlineStr">
        <is>
          <t>Wanden</t>
        </is>
      </c>
      <c r="B23" t="n">
        <v>1.9</v>
      </c>
      <c r="C23" t="inlineStr">
        <is>
          <t>NLRS_g2_mw Rodurza Maas wf tegel</t>
        </is>
      </c>
      <c r="D23" t="inlineStr">
        <is>
          <t>MaterialTakeoff, walls</t>
        </is>
      </c>
    </row>
    <row r="24">
      <c r="A24" t="inlineStr">
        <is>
          <t>Wanden</t>
        </is>
      </c>
      <c r="B24" t="n">
        <v>40.44</v>
      </c>
      <c r="C24" t="inlineStr">
        <is>
          <t>NLRS_g2_mw Rodurza Spaarne wf halfsteens</t>
        </is>
      </c>
      <c r="D24" t="inlineStr">
        <is>
          <t>MaterialTakeoff, walls</t>
        </is>
      </c>
    </row>
    <row r="25">
      <c r="A25" t="inlineStr">
        <is>
          <t>Wanden</t>
        </is>
      </c>
      <c r="B25" t="n">
        <v>0.02</v>
      </c>
      <c r="C25" t="inlineStr">
        <is>
          <t>NLRS_g2_mw Rodurza Spaarne wf koppenverband</t>
        </is>
      </c>
      <c r="D25" t="inlineStr">
        <is>
          <t>MaterialTakeoff, walls</t>
        </is>
      </c>
    </row>
    <row r="26">
      <c r="A26" t="inlineStr">
        <is>
          <t>Wanden</t>
        </is>
      </c>
      <c r="B26" t="n">
        <v>3.26</v>
      </c>
      <c r="C26" t="inlineStr">
        <is>
          <t>NLRS_g2_mw Rodurza Spaarne wf tegel</t>
        </is>
      </c>
      <c r="D26" t="inlineStr">
        <is>
          <t>MaterialTakeoff, walls</t>
        </is>
      </c>
    </row>
    <row r="27">
      <c r="A27" t="inlineStr">
        <is>
          <t>Wanden</t>
        </is>
      </c>
      <c r="B27" t="n">
        <v>17.12</v>
      </c>
      <c r="C27" t="inlineStr">
        <is>
          <t>NLRS_g2_mw Rodurza Vecht wf halfsteens</t>
        </is>
      </c>
      <c r="D27" t="inlineStr">
        <is>
          <t>MaterialTakeoff, walls</t>
        </is>
      </c>
    </row>
    <row r="28">
      <c r="A28" t="inlineStr">
        <is>
          <t>Wanden</t>
        </is>
      </c>
      <c r="B28" t="n">
        <v>0.32</v>
      </c>
      <c r="C28" t="inlineStr">
        <is>
          <t>NLRS_g2_mw Rodurza Vecht wf tegel</t>
        </is>
      </c>
      <c r="D28" t="inlineStr">
        <is>
          <t>MaterialTakeoff, walls</t>
        </is>
      </c>
    </row>
    <row r="29">
      <c r="A29" t="inlineStr">
        <is>
          <t>Wanden</t>
        </is>
      </c>
      <c r="B29" t="n">
        <v>3.16</v>
      </c>
      <c r="C29" t="inlineStr">
        <is>
          <t>Tegels_keramisch_400x200_creme</t>
        </is>
      </c>
      <c r="D29" t="inlineStr">
        <is>
          <t>MaterialTakeoff, walls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35" customWidth="1" min="3" max="3"/>
    <col width="35" customWidth="1" min="4" max="4"/>
  </cols>
  <sheetData>
    <row r="1">
      <c r="A1" s="405" t="inlineStr">
        <is>
          <t>Herkomst</t>
        </is>
      </c>
      <c r="B1" s="405" t="inlineStr">
        <is>
          <t>Volume (m³)</t>
        </is>
      </c>
    </row>
    <row r="2">
      <c r="A2" s="406" t="inlineStr">
        <is>
          <t>Totaal</t>
        </is>
      </c>
      <c r="B2" s="406">
        <f>SUM(B3:B11)</f>
        <v/>
      </c>
    </row>
    <row r="3">
      <c r="A3" t="inlineStr">
        <is>
          <t>Plafonds</t>
        </is>
      </c>
      <c r="B3" t="n">
        <v>3.55</v>
      </c>
    </row>
    <row r="4">
      <c r="A4" t="inlineStr">
        <is>
          <t>Kolommen</t>
        </is>
      </c>
      <c r="B4" t="n">
        <v>0</v>
      </c>
    </row>
    <row r="5">
      <c r="A5" t="inlineStr">
        <is>
          <t>Gevelpanelen</t>
        </is>
      </c>
      <c r="B5" t="n">
        <v>0</v>
      </c>
    </row>
    <row r="6">
      <c r="A6" t="inlineStr">
        <is>
          <t>Deuren</t>
        </is>
      </c>
      <c r="B6" t="n">
        <v>0</v>
      </c>
    </row>
    <row r="7">
      <c r="A7" t="inlineStr">
        <is>
          <t>Vloeren</t>
        </is>
      </c>
      <c r="B7" t="n">
        <v>0</v>
      </c>
    </row>
    <row r="8">
      <c r="A8" t="inlineStr">
        <is>
          <t>Daken</t>
        </is>
      </c>
      <c r="B8" t="n">
        <v>0</v>
      </c>
    </row>
    <row r="9">
      <c r="A9" t="inlineStr">
        <is>
          <t>Wanden</t>
        </is>
      </c>
      <c r="B9" t="n">
        <v>0.06</v>
      </c>
    </row>
    <row r="10">
      <c r="A10" t="inlineStr">
        <is>
          <t>Ramen</t>
        </is>
      </c>
      <c r="B10" t="n">
        <v>0</v>
      </c>
    </row>
    <row r="11">
      <c r="A11" t="inlineStr">
        <is>
          <t>Trappen</t>
        </is>
      </c>
      <c r="B11" t="n">
        <v>0</v>
      </c>
    </row>
    <row r="15">
      <c r="A15" s="410" t="inlineStr">
        <is>
          <t>DETAIL REGELS (bron: schedules)</t>
        </is>
      </c>
    </row>
    <row r="16">
      <c r="A16" s="405" t="inlineStr">
        <is>
          <t>Herkomst</t>
        </is>
      </c>
      <c r="B16" s="405" t="inlineStr">
        <is>
          <t>Volume</t>
        </is>
      </c>
      <c r="C16" s="405" t="inlineStr">
        <is>
          <t>Materiaal</t>
        </is>
      </c>
      <c r="D16" s="405" t="inlineStr">
        <is>
          <t>Schedule</t>
        </is>
      </c>
    </row>
    <row r="17">
      <c r="A17" t="inlineStr">
        <is>
          <t>Plafonds</t>
        </is>
      </c>
      <c r="B17" t="n">
        <v>3.55</v>
      </c>
      <c r="C17" t="inlineStr">
        <is>
          <t>NLRS_p6_stucwerk_interieur fijn wit</t>
        </is>
      </c>
      <c r="D17" t="inlineStr">
        <is>
          <t>MaterialTakeoff, ceilings</t>
        </is>
      </c>
    </row>
    <row r="18">
      <c r="A18" t="inlineStr">
        <is>
          <t>Wanden</t>
        </is>
      </c>
      <c r="B18" t="n">
        <v>0.06</v>
      </c>
      <c r="C18" t="inlineStr">
        <is>
          <t>NLRS_p6_stucwerk_interieur fijn wit</t>
        </is>
      </c>
      <c r="D18" t="inlineStr">
        <is>
          <t>MaterialTakeoff, walls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35" customWidth="1" min="3" max="3"/>
    <col width="35" customWidth="1" min="4" max="4"/>
  </cols>
  <sheetData>
    <row r="1">
      <c r="A1" s="405" t="inlineStr">
        <is>
          <t>Herkomst</t>
        </is>
      </c>
      <c r="B1" s="405" t="inlineStr">
        <is>
          <t>Volume (m³)</t>
        </is>
      </c>
    </row>
    <row r="2">
      <c r="A2" s="406" t="inlineStr">
        <is>
          <t>Totaal</t>
        </is>
      </c>
      <c r="B2" s="406">
        <f>SUM(B3:B11)</f>
        <v/>
      </c>
    </row>
    <row r="3">
      <c r="A3" t="inlineStr">
        <is>
          <t>Plafonds</t>
        </is>
      </c>
      <c r="B3" t="n">
        <v>0</v>
      </c>
    </row>
    <row r="4">
      <c r="A4" t="inlineStr">
        <is>
          <t>Kolommen</t>
        </is>
      </c>
      <c r="B4" t="n">
        <v>0</v>
      </c>
    </row>
    <row r="5">
      <c r="A5" t="inlineStr">
        <is>
          <t>Gevelpanelen</t>
        </is>
      </c>
      <c r="B5" t="n">
        <v>7.99</v>
      </c>
    </row>
    <row r="6">
      <c r="A6" t="inlineStr">
        <is>
          <t>Deuren</t>
        </is>
      </c>
      <c r="B6" t="n">
        <v>10.87</v>
      </c>
    </row>
    <row r="7">
      <c r="A7" t="inlineStr">
        <is>
          <t>Vloeren</t>
        </is>
      </c>
      <c r="B7" t="n">
        <v>0</v>
      </c>
    </row>
    <row r="8">
      <c r="A8" t="inlineStr">
        <is>
          <t>Daken</t>
        </is>
      </c>
      <c r="B8" t="n">
        <v>2.6</v>
      </c>
    </row>
    <row r="9">
      <c r="A9" t="inlineStr">
        <is>
          <t>Wanden</t>
        </is>
      </c>
      <c r="B9" t="n">
        <v>8.470000000000001</v>
      </c>
    </row>
    <row r="10">
      <c r="A10" t="inlineStr">
        <is>
          <t>Ramen</t>
        </is>
      </c>
      <c r="B10" t="n">
        <v>8.58</v>
      </c>
    </row>
    <row r="11">
      <c r="A11" t="inlineStr">
        <is>
          <t>Trappen</t>
        </is>
      </c>
      <c r="B11" t="n">
        <v>0</v>
      </c>
    </row>
    <row r="15">
      <c r="A15" s="410" t="inlineStr">
        <is>
          <t>DETAIL REGELS (bron: schedules)</t>
        </is>
      </c>
    </row>
    <row r="16">
      <c r="A16" s="405" t="inlineStr">
        <is>
          <t>Herkomst</t>
        </is>
      </c>
      <c r="B16" s="405" t="inlineStr">
        <is>
          <t>Volume</t>
        </is>
      </c>
      <c r="C16" s="405" t="inlineStr">
        <is>
          <t>Materiaal</t>
        </is>
      </c>
      <c r="D16" s="405" t="inlineStr">
        <is>
          <t>Schedule</t>
        </is>
      </c>
    </row>
    <row r="17">
      <c r="A17" t="inlineStr">
        <is>
          <t>Deuren</t>
        </is>
      </c>
      <c r="B17" t="n">
        <v>7.9</v>
      </c>
      <c r="C17" t="inlineStr">
        <is>
          <t>Clearance Zones</t>
        </is>
      </c>
      <c r="D17" t="inlineStr">
        <is>
          <t>MaterialTakeoff, door</t>
        </is>
      </c>
    </row>
    <row r="18">
      <c r="A18" t="inlineStr">
        <is>
          <t>Deuren</t>
        </is>
      </c>
      <c r="B18" t="n">
        <v>0.4</v>
      </c>
      <c r="C18" t="inlineStr">
        <is>
          <t>Color RAL 7010</t>
        </is>
      </c>
      <c r="D18" t="inlineStr">
        <is>
          <t>MaterialTakeoff, door</t>
        </is>
      </c>
    </row>
    <row r="19">
      <c r="A19" t="inlineStr">
        <is>
          <t>Deuren</t>
        </is>
      </c>
      <c r="B19" t="n">
        <v>0.67</v>
      </c>
      <c r="C19" t="inlineStr">
        <is>
          <t>Color RAL 7022</t>
        </is>
      </c>
      <c r="D19" t="inlineStr">
        <is>
          <t>MaterialTakeoff, door</t>
        </is>
      </c>
    </row>
    <row r="20">
      <c r="A20" t="inlineStr">
        <is>
          <t>Deuren</t>
        </is>
      </c>
      <c r="B20" t="n">
        <v>0.67</v>
      </c>
      <c r="C20" t="inlineStr">
        <is>
          <t>Color RAL 7030</t>
        </is>
      </c>
      <c r="D20" t="inlineStr">
        <is>
          <t>MaterialTakeoff, door</t>
        </is>
      </c>
    </row>
    <row r="21">
      <c r="A21" t="inlineStr">
        <is>
          <t>Deuren</t>
        </is>
      </c>
      <c r="B21" t="n">
        <v>0.89</v>
      </c>
      <c r="C21" t="inlineStr">
        <is>
          <t>Color RAL 7044</t>
        </is>
      </c>
      <c r="D21" t="inlineStr">
        <is>
          <t>MaterialTakeoff, door</t>
        </is>
      </c>
    </row>
    <row r="22">
      <c r="A22" t="inlineStr">
        <is>
          <t>Deuren</t>
        </is>
      </c>
      <c r="B22" t="n">
        <v>0.21</v>
      </c>
      <c r="C22" t="inlineStr">
        <is>
          <t>NLRS_n6_kozijn_kunststof wit</t>
        </is>
      </c>
      <c r="D22" t="inlineStr">
        <is>
          <t>MaterialTakeoff, door</t>
        </is>
      </c>
    </row>
    <row r="23">
      <c r="A23" t="inlineStr">
        <is>
          <t>Deuren</t>
        </is>
      </c>
      <c r="B23" t="n">
        <v>0.13</v>
      </c>
      <c r="C23" t="inlineStr">
        <is>
          <t>NLRS_o1_glas_helder</t>
        </is>
      </c>
      <c r="D23" t="inlineStr">
        <is>
          <t>MaterialTakeoff, door</t>
        </is>
      </c>
    </row>
    <row r="24">
      <c r="A24" t="inlineStr">
        <is>
          <t>Gevelpanelen</t>
        </is>
      </c>
      <c r="B24" t="n">
        <v>1.18</v>
      </c>
      <c r="C24" t="inlineStr">
        <is>
          <t>Color RAL 7010</t>
        </is>
      </c>
      <c r="D24" t="inlineStr">
        <is>
          <t>MaterialTakeoff, curtain walls</t>
        </is>
      </c>
    </row>
    <row r="25">
      <c r="A25" t="inlineStr">
        <is>
          <t>Gevelpanelen</t>
        </is>
      </c>
      <c r="B25" t="n">
        <v>1.93</v>
      </c>
      <c r="C25" t="inlineStr">
        <is>
          <t>Color RAL 7022</t>
        </is>
      </c>
      <c r="D25" t="inlineStr">
        <is>
          <t>MaterialTakeoff, curtain walls</t>
        </is>
      </c>
    </row>
    <row r="26">
      <c r="A26" t="inlineStr">
        <is>
          <t>Gevelpanelen</t>
        </is>
      </c>
      <c r="B26" t="n">
        <v>1.8</v>
      </c>
      <c r="C26" t="inlineStr">
        <is>
          <t>Color RAL 7030</t>
        </is>
      </c>
      <c r="D26" t="inlineStr">
        <is>
          <t>MaterialTakeoff, curtain walls</t>
        </is>
      </c>
    </row>
    <row r="27">
      <c r="A27" t="inlineStr">
        <is>
          <t>Gevelpanelen</t>
        </is>
      </c>
      <c r="B27" t="n">
        <v>2.64</v>
      </c>
      <c r="C27" t="inlineStr">
        <is>
          <t>Color RAL 7044</t>
        </is>
      </c>
      <c r="D27" t="inlineStr">
        <is>
          <t>MaterialTakeoff, curtain walls</t>
        </is>
      </c>
    </row>
    <row r="28">
      <c r="A28" t="inlineStr">
        <is>
          <t>Gevelpanelen</t>
        </is>
      </c>
      <c r="B28" t="n">
        <v>0.44</v>
      </c>
      <c r="C28" t="inlineStr">
        <is>
          <t>RAL 7016 - Antracietgrijs</t>
        </is>
      </c>
      <c r="D28" t="inlineStr">
        <is>
          <t>MaterialTakeoff, curtain walls</t>
        </is>
      </c>
    </row>
    <row r="29">
      <c r="A29" t="inlineStr">
        <is>
          <t>Ramen</t>
        </is>
      </c>
      <c r="B29" t="n">
        <v>0.33</v>
      </c>
      <c r="C29" t="inlineStr">
        <is>
          <t>Color RAL 7010</t>
        </is>
      </c>
      <c r="D29" t="inlineStr">
        <is>
          <t>MaterialTakeoff, windows</t>
        </is>
      </c>
    </row>
    <row r="30">
      <c r="A30" t="inlineStr">
        <is>
          <t>Ramen</t>
        </is>
      </c>
      <c r="B30" t="n">
        <v>0.53</v>
      </c>
      <c r="C30" t="inlineStr">
        <is>
          <t>Color RAL 7022</t>
        </is>
      </c>
      <c r="D30" t="inlineStr">
        <is>
          <t>MaterialTakeoff, windows</t>
        </is>
      </c>
    </row>
    <row r="31">
      <c r="A31" t="inlineStr">
        <is>
          <t>Ramen</t>
        </is>
      </c>
      <c r="B31" t="n">
        <v>0.49</v>
      </c>
      <c r="C31" t="inlineStr">
        <is>
          <t>Color RAL 7030</t>
        </is>
      </c>
      <c r="D31" t="inlineStr">
        <is>
          <t>MaterialTakeoff, windows</t>
        </is>
      </c>
    </row>
    <row r="32">
      <c r="A32" t="inlineStr">
        <is>
          <t>Ramen</t>
        </is>
      </c>
      <c r="B32" t="n">
        <v>0.09</v>
      </c>
      <c r="C32" t="inlineStr">
        <is>
          <t>Color RAL 7039 kwartsgrijs</t>
        </is>
      </c>
      <c r="D32" t="inlineStr">
        <is>
          <t>MaterialTakeoff, windows</t>
        </is>
      </c>
    </row>
    <row r="33">
      <c r="A33" t="inlineStr">
        <is>
          <t>Ramen</t>
        </is>
      </c>
      <c r="B33" t="n">
        <v>0.79</v>
      </c>
      <c r="C33" t="inlineStr">
        <is>
          <t>Color RAL 7044</t>
        </is>
      </c>
      <c r="D33" t="inlineStr">
        <is>
          <t>MaterialTakeoff, windows</t>
        </is>
      </c>
    </row>
    <row r="34">
      <c r="A34" t="inlineStr">
        <is>
          <t>Ramen</t>
        </is>
      </c>
      <c r="B34" t="n">
        <v>0.86</v>
      </c>
      <c r="C34" t="inlineStr">
        <is>
          <t>NLRS_n6_kozijn_kunststof wit</t>
        </is>
      </c>
      <c r="D34" t="inlineStr">
        <is>
          <t>MaterialTakeoff, windows</t>
        </is>
      </c>
    </row>
    <row r="35">
      <c r="A35" t="inlineStr">
        <is>
          <t>Ramen</t>
        </is>
      </c>
      <c r="B35" t="n">
        <v>5.49</v>
      </c>
      <c r="C35" t="inlineStr">
        <is>
          <t>NLRS_o1_glas_helder</t>
        </is>
      </c>
      <c r="D35" t="inlineStr">
        <is>
          <t>MaterialTakeoff, windows</t>
        </is>
      </c>
    </row>
    <row r="36">
      <c r="A36" t="inlineStr">
        <is>
          <t>Daken</t>
        </is>
      </c>
      <c r="B36" t="n">
        <v>2.6</v>
      </c>
      <c r="C36" t="inlineStr">
        <is>
          <t>NLRS_f2_grind</t>
        </is>
      </c>
      <c r="D36" t="inlineStr">
        <is>
          <t>MaterialTakeoff, roofs</t>
        </is>
      </c>
    </row>
    <row r="37">
      <c r="A37" t="inlineStr">
        <is>
          <t>Wanden</t>
        </is>
      </c>
      <c r="B37" t="n">
        <v>0.07000000000000001</v>
      </c>
      <c r="C37" t="inlineStr">
        <is>
          <t>Default Wall</t>
        </is>
      </c>
      <c r="D37" t="inlineStr">
        <is>
          <t>MaterialTakeoff, walls</t>
        </is>
      </c>
    </row>
    <row r="38">
      <c r="A38" t="inlineStr">
        <is>
          <t>Wanden</t>
        </is>
      </c>
      <c r="B38" t="n">
        <v>2.34</v>
      </c>
      <c r="C38" t="inlineStr">
        <is>
          <t>NLRS_g2_mw Rodurza Jeker  wf staand</t>
        </is>
      </c>
      <c r="D38" t="inlineStr">
        <is>
          <t>MaterialTakeoff, walls</t>
        </is>
      </c>
    </row>
    <row r="39">
      <c r="A39" t="inlineStr">
        <is>
          <t>Wanden</t>
        </is>
      </c>
      <c r="B39" t="n">
        <v>3.26</v>
      </c>
      <c r="C39" t="inlineStr">
        <is>
          <t>NLRS_g2_mw Rodurza Maas wf staand</t>
        </is>
      </c>
      <c r="D39" t="inlineStr">
        <is>
          <t>MaterialTakeoff, walls</t>
        </is>
      </c>
    </row>
    <row r="40">
      <c r="A40" t="inlineStr">
        <is>
          <t>Wanden</t>
        </is>
      </c>
      <c r="B40" t="n">
        <v>2.04</v>
      </c>
      <c r="C40" t="inlineStr">
        <is>
          <t>NLRS_g2_mw Rodurza Spaarne wf staand</t>
        </is>
      </c>
      <c r="D40" t="inlineStr">
        <is>
          <t>MaterialTakeoff, walls</t>
        </is>
      </c>
    </row>
    <row r="41">
      <c r="A41" t="inlineStr">
        <is>
          <t>Wanden</t>
        </is>
      </c>
      <c r="B41" t="n">
        <v>0.76</v>
      </c>
      <c r="C41" t="inlineStr">
        <is>
          <t>NLRS_g2_mw Rodurza Vecht wf staand</t>
        </is>
      </c>
      <c r="D41" t="inlineStr">
        <is>
          <t>MaterialTakeoff, walls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Tijn Ebben</dc:creator>
  <dcterms:created xsi:type="dcterms:W3CDTF">2026-04-09T13:12:04Z</dcterms:created>
  <dcterms:modified xsi:type="dcterms:W3CDTF">2026-06-11T07:08:50Z</dcterms:modified>
  <cp:lastModifiedBy>Cathy van Amersfoort</cp:lastModifiedBy>
</cp:coreProperties>
</file>